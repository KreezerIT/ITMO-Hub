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0" yWindow="0" windowWidth="6144" windowHeight="3312"/>
  </bookViews>
  <sheets>
    <sheet name="Лист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C3" i="1" s="1"/>
  <c r="B4" i="1"/>
  <c r="B5" i="1"/>
  <c r="B6" i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B21" i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C36" i="1"/>
  <c r="C21" i="1"/>
  <c r="C20" i="1"/>
  <c r="C6" i="1"/>
  <c r="C5" i="1"/>
  <c r="C4" i="1"/>
  <c r="C1" i="1"/>
  <c r="H71" i="1"/>
  <c r="C60" i="1"/>
  <c r="A57" i="1"/>
  <c r="B52" i="1" l="1"/>
  <c r="C2" i="1"/>
  <c r="A58" i="1"/>
  <c r="B59" i="1" s="1"/>
  <c r="C59" i="1" s="1"/>
  <c r="F58" i="1"/>
  <c r="H58" i="1" l="1"/>
  <c r="F59" i="1"/>
  <c r="F60" i="1" s="1"/>
  <c r="H62" i="1" s="1"/>
  <c r="H60" i="1" l="1"/>
  <c r="H59" i="1"/>
  <c r="I58" i="1" s="1"/>
  <c r="J58" i="1" s="1"/>
  <c r="F61" i="1"/>
  <c r="H61" i="1"/>
  <c r="K58" i="1"/>
  <c r="A52" i="1"/>
  <c r="I60" i="1" l="1"/>
  <c r="J60" i="1" s="1"/>
  <c r="K60" i="1"/>
  <c r="F62" i="1"/>
  <c r="H63" i="1"/>
  <c r="H64" i="1"/>
  <c r="C52" i="1" l="1"/>
  <c r="F63" i="1"/>
  <c r="H65" i="1"/>
  <c r="I64" i="1" s="1"/>
  <c r="J64" i="1" s="1"/>
  <c r="H66" i="1"/>
  <c r="I62" i="1"/>
  <c r="J62" i="1" s="1"/>
  <c r="K62" i="1"/>
  <c r="K64" i="1"/>
  <c r="C55" i="1" l="1"/>
  <c r="L58" i="1"/>
  <c r="C53" i="1"/>
  <c r="L60" i="1"/>
  <c r="L62" i="1"/>
  <c r="L64" i="1"/>
  <c r="O60" i="1"/>
  <c r="P60" i="1"/>
  <c r="O61" i="1"/>
  <c r="O59" i="1"/>
  <c r="P61" i="1"/>
  <c r="P59" i="1"/>
  <c r="F64" i="1"/>
  <c r="F65" i="1" s="1"/>
  <c r="H68" i="1"/>
  <c r="H67" i="1"/>
  <c r="K66" i="1" s="1"/>
  <c r="L66" i="1" s="1"/>
  <c r="I66" i="1" l="1"/>
  <c r="J66" i="1" s="1"/>
  <c r="Q60" i="1"/>
  <c r="R60" i="1" s="1"/>
  <c r="Q59" i="1"/>
  <c r="R59" i="1" s="1"/>
  <c r="Q61" i="1"/>
  <c r="R61" i="1" s="1"/>
  <c r="H69" i="1"/>
  <c r="I68" i="1" s="1"/>
  <c r="J68" i="1" s="1"/>
  <c r="H70" i="1"/>
  <c r="I70" i="1" l="1"/>
  <c r="J70" i="1" s="1"/>
  <c r="J74" i="1" s="1"/>
  <c r="K70" i="1"/>
  <c r="L70" i="1" s="1"/>
  <c r="K68" i="1"/>
  <c r="L68" i="1" s="1"/>
</calcChain>
</file>

<file path=xl/sharedStrings.xml><?xml version="1.0" encoding="utf-8"?>
<sst xmlns="http://schemas.openxmlformats.org/spreadsheetml/2006/main" count="4" uniqueCount="4">
  <si>
    <t>(t)N</t>
  </si>
  <si>
    <t>t+-a</t>
  </si>
  <si>
    <t>t+-2a</t>
  </si>
  <si>
    <t>t+-3a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</si>
</sst>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1" xfId="0" applyNumberFormat="1" applyBorder="1"/>
    <xf numFmtId="165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abSelected="1" topLeftCell="F55" zoomScale="85" zoomScaleNormal="85" workbookViewId="0">
      <selection activeCell="J70" sqref="J58:J71"/>
    </sheetView>
  </sheetViews>
  <sheetFormatPr defaultRowHeight="14.4" x14ac:dyDescent="0.3"/>
  <cols>
    <col min="1" max="1" width="8.88671875" style="1"/>
    <col min="2" max="2" width="14.109375" customWidth="1"/>
    <col min="3" max="3" width="17.5546875" customWidth="1"/>
    <col min="8" max="8" width="11" customWidth="1"/>
    <col min="15" max="16" width="7.33203125" customWidth="1"/>
  </cols>
  <sheetData>
    <row r="1" spans="1:3" ht="15" thickBot="1" x14ac:dyDescent="0.35">
      <c r="A1" s="14">
        <v>4.95</v>
      </c>
      <c r="B1">
        <v>0</v>
      </c>
      <c r="C1">
        <f>B1^2</f>
        <v>0</v>
      </c>
    </row>
    <row r="2" spans="1:3" ht="15" thickBot="1" x14ac:dyDescent="0.35">
      <c r="A2" s="15">
        <v>4.78</v>
      </c>
      <c r="B2">
        <f>A2-SUM($A$1:A2)/COUNT($A$1:A2)</f>
        <v>-8.4999999999999964E-2</v>
      </c>
      <c r="C2">
        <f t="shared" ref="C2:C50" si="0">B2^2</f>
        <v>7.2249999999999936E-3</v>
      </c>
    </row>
    <row r="3" spans="1:3" ht="15" thickBot="1" x14ac:dyDescent="0.35">
      <c r="A3" s="15">
        <v>4.75</v>
      </c>
      <c r="B3">
        <f>A3-SUM($A$1:A3)/COUNT($A$1:A3)</f>
        <v>-7.6666666666667105E-2</v>
      </c>
      <c r="C3">
        <f t="shared" si="0"/>
        <v>5.8777777777778446E-3</v>
      </c>
    </row>
    <row r="4" spans="1:3" ht="15" thickBot="1" x14ac:dyDescent="0.35">
      <c r="A4" s="15">
        <v>5.05</v>
      </c>
      <c r="B4">
        <f>A4-SUM($A$1:A4)/COUNT($A$1:A4)</f>
        <v>0.16749999999999954</v>
      </c>
      <c r="C4">
        <f t="shared" si="0"/>
        <v>2.8056249999999845E-2</v>
      </c>
    </row>
    <row r="5" spans="1:3" ht="15" thickBot="1" x14ac:dyDescent="0.35">
      <c r="A5" s="15">
        <v>5.28</v>
      </c>
      <c r="B5">
        <f>A5-SUM($A$1:A5)/COUNT($A$1:A5)</f>
        <v>0.31799999999999962</v>
      </c>
      <c r="C5">
        <f t="shared" si="0"/>
        <v>0.10112399999999976</v>
      </c>
    </row>
    <row r="6" spans="1:3" ht="15" thickBot="1" x14ac:dyDescent="0.35">
      <c r="A6" s="15">
        <v>5.28</v>
      </c>
      <c r="B6">
        <f>A6-SUM($A$1:A6)/COUNT($A$1:A6)</f>
        <v>0.26499999999999968</v>
      </c>
      <c r="C6">
        <f t="shared" si="0"/>
        <v>7.0224999999999829E-2</v>
      </c>
    </row>
    <row r="7" spans="1:3" ht="15" thickBot="1" x14ac:dyDescent="0.35">
      <c r="A7" s="15">
        <v>5.17</v>
      </c>
      <c r="B7">
        <f>A7-SUM($A$1:A7)/COUNT($A$1:A7)</f>
        <v>0.13285714285714167</v>
      </c>
      <c r="C7">
        <f t="shared" si="0"/>
        <v>1.7651020408162951E-2</v>
      </c>
    </row>
    <row r="8" spans="1:3" ht="15" thickBot="1" x14ac:dyDescent="0.35">
      <c r="A8" s="15">
        <v>4.92</v>
      </c>
      <c r="B8">
        <f>A8-SUM($A$1:A8)/COUNT($A$1:A8)</f>
        <v>-0.10250000000000092</v>
      </c>
      <c r="C8">
        <f t="shared" si="0"/>
        <v>1.0506250000000189E-2</v>
      </c>
    </row>
    <row r="9" spans="1:3" ht="15" thickBot="1" x14ac:dyDescent="0.35">
      <c r="A9" s="15">
        <v>5.12</v>
      </c>
      <c r="B9">
        <f>A9-SUM($A$1:A9)/COUNT($A$1:A9)</f>
        <v>8.6666666666666003E-2</v>
      </c>
      <c r="C9">
        <f t="shared" si="0"/>
        <v>7.5111111111109963E-3</v>
      </c>
    </row>
    <row r="10" spans="1:3" ht="15" thickBot="1" x14ac:dyDescent="0.35">
      <c r="A10" s="15">
        <v>5.15</v>
      </c>
      <c r="B10">
        <f>A10-SUM($A$1:A10)/COUNT($A$1:A10)</f>
        <v>0.10500000000000043</v>
      </c>
      <c r="C10">
        <f t="shared" si="0"/>
        <v>1.102500000000009E-2</v>
      </c>
    </row>
    <row r="11" spans="1:3" ht="15" thickBot="1" x14ac:dyDescent="0.35">
      <c r="A11" s="15">
        <v>5.0199999999999996</v>
      </c>
      <c r="B11">
        <f>A11-SUM($A$1:A11)/COUNT($A$1:A11)</f>
        <v>-2.2727272727273373E-2</v>
      </c>
      <c r="C11">
        <f t="shared" si="0"/>
        <v>5.1652892561986411E-4</v>
      </c>
    </row>
    <row r="12" spans="1:3" ht="15" thickBot="1" x14ac:dyDescent="0.35">
      <c r="A12" s="15">
        <v>4.96</v>
      </c>
      <c r="B12">
        <f>A12-SUM($A$1:A12)/COUNT($A$1:A12)</f>
        <v>-7.5833333333333641E-2</v>
      </c>
      <c r="C12">
        <f t="shared" si="0"/>
        <v>5.7506944444444914E-3</v>
      </c>
    </row>
    <row r="13" spans="1:3" ht="15" thickBot="1" x14ac:dyDescent="0.35">
      <c r="A13" s="15">
        <v>5</v>
      </c>
      <c r="B13">
        <f>A13-SUM($A$1:A13)/COUNT($A$1:A13)</f>
        <v>-3.307692307692367E-2</v>
      </c>
      <c r="C13">
        <f t="shared" si="0"/>
        <v>1.0940828402367256E-3</v>
      </c>
    </row>
    <row r="14" spans="1:3" ht="15" thickBot="1" x14ac:dyDescent="0.35">
      <c r="A14" s="15">
        <v>4.93</v>
      </c>
      <c r="B14">
        <f>A14-SUM($A$1:A14)/COUNT($A$1:A14)</f>
        <v>-9.5714285714286973E-2</v>
      </c>
      <c r="C14">
        <f t="shared" si="0"/>
        <v>9.1612244897961593E-3</v>
      </c>
    </row>
    <row r="15" spans="1:3" ht="15" thickBot="1" x14ac:dyDescent="0.35">
      <c r="A15" s="15">
        <v>4.83</v>
      </c>
      <c r="B15">
        <f>A15-SUM($A$1:A15)/COUNT($A$1:A15)</f>
        <v>-0.18266666666666698</v>
      </c>
      <c r="C15">
        <f t="shared" si="0"/>
        <v>3.3367111111111222E-2</v>
      </c>
    </row>
    <row r="16" spans="1:3" ht="15" thickBot="1" x14ac:dyDescent="0.35">
      <c r="A16" s="15">
        <v>4.96</v>
      </c>
      <c r="B16">
        <f>A16-SUM($A$1:A16)/COUNT($A$1:A16)</f>
        <v>-4.9375000000000391E-2</v>
      </c>
      <c r="C16">
        <f t="shared" si="0"/>
        <v>2.4378906250000386E-3</v>
      </c>
    </row>
    <row r="17" spans="1:3" ht="15" thickBot="1" x14ac:dyDescent="0.35">
      <c r="A17" s="15">
        <v>4.83</v>
      </c>
      <c r="B17">
        <f>A17-SUM($A$1:A17)/COUNT($A$1:A17)</f>
        <v>-0.16882352941176482</v>
      </c>
      <c r="C17">
        <f t="shared" si="0"/>
        <v>2.850138408304502E-2</v>
      </c>
    </row>
    <row r="18" spans="1:3" ht="15" thickBot="1" x14ac:dyDescent="0.35">
      <c r="A18" s="15">
        <v>5.08</v>
      </c>
      <c r="B18">
        <f>A18-SUM($A$1:A18)/COUNT($A$1:A18)</f>
        <v>7.6666666666666217E-2</v>
      </c>
      <c r="C18">
        <f t="shared" si="0"/>
        <v>5.8777777777777084E-3</v>
      </c>
    </row>
    <row r="19" spans="1:3" ht="15" thickBot="1" x14ac:dyDescent="0.35">
      <c r="A19" s="15">
        <v>5.1100000000000003</v>
      </c>
      <c r="B19">
        <f>A19-SUM($A$1:A19)/COUNT($A$1:A19)</f>
        <v>0.1010526315789475</v>
      </c>
      <c r="C19">
        <f t="shared" si="0"/>
        <v>1.0211634349030498E-2</v>
      </c>
    </row>
    <row r="20" spans="1:3" ht="15" thickBot="1" x14ac:dyDescent="0.35">
      <c r="A20" s="15">
        <v>4.99</v>
      </c>
      <c r="B20">
        <f>A20-SUM($A$1:A20)/COUNT($A$1:A20)</f>
        <v>-1.7999999999999794E-2</v>
      </c>
      <c r="C20">
        <f t="shared" si="0"/>
        <v>3.2399999999999259E-4</v>
      </c>
    </row>
    <row r="21" spans="1:3" ht="15" thickBot="1" x14ac:dyDescent="0.35">
      <c r="A21" s="15">
        <v>4.99</v>
      </c>
      <c r="B21">
        <f>A21-SUM($A$1:A21)/COUNT($A$1:A21)</f>
        <v>-1.7142857142856904E-2</v>
      </c>
      <c r="C21">
        <f t="shared" si="0"/>
        <v>2.9387755102039999E-4</v>
      </c>
    </row>
    <row r="22" spans="1:3" ht="15" thickBot="1" x14ac:dyDescent="0.35">
      <c r="A22" s="15">
        <v>5.0999999999999996</v>
      </c>
      <c r="B22">
        <f>A22-SUM($A$1:A22)/COUNT($A$1:A22)</f>
        <v>8.8636363636363846E-2</v>
      </c>
      <c r="C22">
        <f t="shared" si="0"/>
        <v>7.8564049586777231E-3</v>
      </c>
    </row>
    <row r="23" spans="1:3" ht="15" thickBot="1" x14ac:dyDescent="0.35">
      <c r="A23" s="15">
        <v>5.0199999999999996</v>
      </c>
      <c r="B23">
        <f>A23-SUM($A$1:A23)/COUNT($A$1:A23)</f>
        <v>8.2608695652179875E-3</v>
      </c>
      <c r="C23">
        <f t="shared" si="0"/>
        <v>6.8241965973544818E-5</v>
      </c>
    </row>
    <row r="24" spans="1:3" ht="15" thickBot="1" x14ac:dyDescent="0.35">
      <c r="A24" s="14">
        <v>4.9400000000000004</v>
      </c>
      <c r="B24">
        <f>A24-SUM($A$1:A24)/COUNT($A$1:A24)</f>
        <v>-6.8749999999998757E-2</v>
      </c>
      <c r="C24">
        <f t="shared" si="0"/>
        <v>4.726562499999829E-3</v>
      </c>
    </row>
    <row r="25" spans="1:3" ht="15" thickBot="1" x14ac:dyDescent="0.35">
      <c r="A25" s="15">
        <v>5.18</v>
      </c>
      <c r="B25">
        <f>A25-SUM($A$1:A25)/COUNT($A$1:A25)</f>
        <v>0.16440000000000055</v>
      </c>
      <c r="C25">
        <f t="shared" si="0"/>
        <v>2.7027360000000181E-2</v>
      </c>
    </row>
    <row r="26" spans="1:3" ht="15" thickBot="1" x14ac:dyDescent="0.35">
      <c r="A26" s="15">
        <v>5.0199999999999996</v>
      </c>
      <c r="B26">
        <f>A26-SUM($A$1:A26)/COUNT($A$1:A26)</f>
        <v>4.230769230768594E-3</v>
      </c>
      <c r="C26">
        <f t="shared" si="0"/>
        <v>1.7899408284018281E-5</v>
      </c>
    </row>
    <row r="27" spans="1:3" ht="15" thickBot="1" x14ac:dyDescent="0.35">
      <c r="A27" s="15">
        <v>5.12</v>
      </c>
      <c r="B27">
        <f>A27-SUM($A$1:A27)/COUNT($A$1:A27)</f>
        <v>0.10037037037037067</v>
      </c>
      <c r="C27">
        <f t="shared" si="0"/>
        <v>1.0074211248285381E-2</v>
      </c>
    </row>
    <row r="28" spans="1:3" ht="15" thickBot="1" x14ac:dyDescent="0.35">
      <c r="A28" s="15">
        <v>5.0599999999999996</v>
      </c>
      <c r="B28">
        <f>A28-SUM($A$1:A28)/COUNT($A$1:A28)</f>
        <v>3.8928571428570535E-2</v>
      </c>
      <c r="C28">
        <f t="shared" si="0"/>
        <v>1.5154336734693181E-3</v>
      </c>
    </row>
    <row r="29" spans="1:3" ht="15" thickBot="1" x14ac:dyDescent="0.35">
      <c r="A29" s="15">
        <v>4.9400000000000004</v>
      </c>
      <c r="B29">
        <f>A29-SUM($A$1:A29)/COUNT($A$1:A29)</f>
        <v>-7.8275862068965196E-2</v>
      </c>
      <c r="C29">
        <f t="shared" si="0"/>
        <v>6.1271105826396647E-3</v>
      </c>
    </row>
    <row r="30" spans="1:3" ht="15" thickBot="1" x14ac:dyDescent="0.35">
      <c r="A30" s="15">
        <v>4.9000000000000004</v>
      </c>
      <c r="B30">
        <f>A30-SUM($A$1:A30)/COUNT($A$1:A30)</f>
        <v>-0.11433333333333362</v>
      </c>
      <c r="C30">
        <f t="shared" si="0"/>
        <v>1.3072111111111177E-2</v>
      </c>
    </row>
    <row r="31" spans="1:3" ht="15" thickBot="1" x14ac:dyDescent="0.35">
      <c r="A31" s="15">
        <v>5.0999999999999996</v>
      </c>
      <c r="B31">
        <f>A31-SUM($A$1:A31)/COUNT($A$1:A31)</f>
        <v>8.290322580645082E-2</v>
      </c>
      <c r="C31">
        <f t="shared" si="0"/>
        <v>6.8729448491153733E-3</v>
      </c>
    </row>
    <row r="32" spans="1:3" ht="15" thickBot="1" x14ac:dyDescent="0.35">
      <c r="A32" s="15">
        <v>4.55</v>
      </c>
      <c r="B32">
        <f>A32-SUM($A$1:A32)/COUNT($A$1:A32)</f>
        <v>-0.45250000000000057</v>
      </c>
      <c r="C32">
        <f t="shared" si="0"/>
        <v>0.20475625000000053</v>
      </c>
    </row>
    <row r="33" spans="1:3" ht="15" thickBot="1" x14ac:dyDescent="0.35">
      <c r="A33" s="15">
        <v>5.12</v>
      </c>
      <c r="B33">
        <f>A33-SUM($A$1:A33)/COUNT($A$1:A33)</f>
        <v>0.11393939393939334</v>
      </c>
      <c r="C33">
        <f t="shared" si="0"/>
        <v>1.2982185491276265E-2</v>
      </c>
    </row>
    <row r="34" spans="1:3" ht="15" thickBot="1" x14ac:dyDescent="0.35">
      <c r="A34" s="15">
        <v>4.96</v>
      </c>
      <c r="B34">
        <f>A34-SUM($A$1:A34)/COUNT($A$1:A34)</f>
        <v>-4.4705882352942261E-2</v>
      </c>
      <c r="C34">
        <f t="shared" si="0"/>
        <v>1.9986159169551143E-3</v>
      </c>
    </row>
    <row r="35" spans="1:3" ht="15" thickBot="1" x14ac:dyDescent="0.35">
      <c r="A35" s="15">
        <v>5.0199999999999996</v>
      </c>
      <c r="B35">
        <f>A35-SUM($A$1:A35)/COUNT($A$1:A35)</f>
        <v>1.4857142857141348E-2</v>
      </c>
      <c r="C35">
        <f t="shared" si="0"/>
        <v>2.2073469387750617E-4</v>
      </c>
    </row>
    <row r="36" spans="1:3" ht="15" thickBot="1" x14ac:dyDescent="0.35">
      <c r="A36" s="15">
        <v>4.99</v>
      </c>
      <c r="B36">
        <f>A36-SUM($A$1:A36)/COUNT($A$1:A36)</f>
        <v>-1.4722222222223635E-2</v>
      </c>
      <c r="C36">
        <f t="shared" si="0"/>
        <v>2.1674382716053544E-4</v>
      </c>
    </row>
    <row r="37" spans="1:3" ht="15" thickBot="1" x14ac:dyDescent="0.35">
      <c r="A37" s="15">
        <v>5.05</v>
      </c>
      <c r="B37">
        <f>A37-SUM($A$1:A37)/COUNT($A$1:A37)</f>
        <v>4.4054054054051939E-2</v>
      </c>
      <c r="C37">
        <f t="shared" si="0"/>
        <v>1.94075967859733E-3</v>
      </c>
    </row>
    <row r="38" spans="1:3" ht="15" thickBot="1" x14ac:dyDescent="0.35">
      <c r="A38" s="15">
        <v>5.05</v>
      </c>
      <c r="B38">
        <f>A38-SUM($A$1:A38)/COUNT($A$1:A38)</f>
        <v>4.289473684210332E-2</v>
      </c>
      <c r="C38">
        <f t="shared" si="0"/>
        <v>1.8399584487532959E-3</v>
      </c>
    </row>
    <row r="39" spans="1:3" ht="15" thickBot="1" x14ac:dyDescent="0.35">
      <c r="A39" s="15">
        <v>4.93</v>
      </c>
      <c r="B39">
        <f>A39-SUM($A$1:A39)/COUNT($A$1:A39)</f>
        <v>-7.5128205128207171E-2</v>
      </c>
      <c r="C39">
        <f t="shared" si="0"/>
        <v>5.644247205785974E-3</v>
      </c>
    </row>
    <row r="40" spans="1:3" ht="15" thickBot="1" x14ac:dyDescent="0.35">
      <c r="A40" s="15">
        <v>5.0199999999999996</v>
      </c>
      <c r="B40">
        <f>A40-SUM($A$1:A40)/COUNT($A$1:A40)</f>
        <v>1.4499999999997293E-2</v>
      </c>
      <c r="C40">
        <f t="shared" si="0"/>
        <v>2.1024999999992149E-4</v>
      </c>
    </row>
    <row r="41" spans="1:3" ht="15" thickBot="1" x14ac:dyDescent="0.35">
      <c r="A41" s="15">
        <v>4.8099999999999996</v>
      </c>
      <c r="B41">
        <f>A41-SUM($A$1:A41)/COUNT($A$1:A41)</f>
        <v>-0.19073170731707556</v>
      </c>
      <c r="C41">
        <f t="shared" si="0"/>
        <v>3.6378584176086574E-2</v>
      </c>
    </row>
    <row r="42" spans="1:3" ht="15" thickBot="1" x14ac:dyDescent="0.35">
      <c r="A42" s="15">
        <v>5.05</v>
      </c>
      <c r="B42">
        <f>A42-SUM($A$1:A42)/COUNT($A$1:A42)</f>
        <v>4.809523809523597E-2</v>
      </c>
      <c r="C42">
        <f t="shared" si="0"/>
        <v>2.3131519274374374E-3</v>
      </c>
    </row>
    <row r="43" spans="1:3" ht="15" thickBot="1" x14ac:dyDescent="0.35">
      <c r="A43" s="15">
        <v>4.83</v>
      </c>
      <c r="B43">
        <f>A43-SUM($A$1:A43)/COUNT($A$1:A43)</f>
        <v>-0.16790697674418897</v>
      </c>
      <c r="C43">
        <f t="shared" si="0"/>
        <v>2.8192752839373617E-2</v>
      </c>
    </row>
    <row r="44" spans="1:3" ht="15" thickBot="1" x14ac:dyDescent="0.35">
      <c r="A44" s="15">
        <v>5.18</v>
      </c>
      <c r="B44">
        <f>A44-SUM($A$1:A44)/COUNT($A$1:A44)</f>
        <v>0.17795454545454259</v>
      </c>
      <c r="C44">
        <f t="shared" si="0"/>
        <v>3.1667820247932868E-2</v>
      </c>
    </row>
    <row r="45" spans="1:3" ht="15" thickBot="1" x14ac:dyDescent="0.35">
      <c r="A45" s="15">
        <v>5.0199999999999996</v>
      </c>
      <c r="B45">
        <f>A45-SUM($A$1:A45)/COUNT($A$1:A45)</f>
        <v>1.7555555555552438E-2</v>
      </c>
      <c r="C45">
        <f t="shared" si="0"/>
        <v>3.0819753086408806E-4</v>
      </c>
    </row>
    <row r="46" spans="1:3" ht="15" thickBot="1" x14ac:dyDescent="0.35">
      <c r="A46" s="15">
        <v>4.99</v>
      </c>
      <c r="B46">
        <f>A46-SUM($A$1:A46)/COUNT($A$1:A46)</f>
        <v>-1.2173913043480589E-2</v>
      </c>
      <c r="C46">
        <f t="shared" si="0"/>
        <v>1.482041587902268E-4</v>
      </c>
    </row>
    <row r="47" spans="1:3" ht="15" thickBot="1" x14ac:dyDescent="0.35">
      <c r="A47" s="15">
        <v>4.93</v>
      </c>
      <c r="B47">
        <f>A47-SUM($A$1:A47)/COUNT($A$1:A47)</f>
        <v>-7.0638297872343436E-2</v>
      </c>
      <c r="C47">
        <f t="shared" si="0"/>
        <v>4.9897691263019192E-3</v>
      </c>
    </row>
    <row r="48" spans="1:3" ht="15" thickBot="1" x14ac:dyDescent="0.35">
      <c r="A48" s="15">
        <v>4.8</v>
      </c>
      <c r="B48">
        <f>A48-SUM($A$1:A48)/COUNT($A$1:A48)</f>
        <v>-0.19645833333333673</v>
      </c>
      <c r="C48">
        <f t="shared" si="0"/>
        <v>3.859587673611245E-2</v>
      </c>
    </row>
    <row r="49" spans="1:18" ht="15" thickBot="1" x14ac:dyDescent="0.35">
      <c r="A49" s="15">
        <v>5.12</v>
      </c>
      <c r="B49">
        <f>A49-SUM($A$1:A49)/COUNT($A$1:A49)</f>
        <v>0.12102040816326198</v>
      </c>
      <c r="C49">
        <f t="shared" si="0"/>
        <v>1.4645939192002527E-2</v>
      </c>
    </row>
    <row r="50" spans="1:18" ht="15" thickBot="1" x14ac:dyDescent="0.35">
      <c r="A50" s="15">
        <v>5.0199999999999996</v>
      </c>
      <c r="B50">
        <f>A50-SUM($A$1:A50)/COUNT($A$1:A50)</f>
        <v>2.0599999999996399E-2</v>
      </c>
      <c r="C50">
        <f t="shared" si="0"/>
        <v>4.2435999999985166E-4</v>
      </c>
    </row>
    <row r="52" spans="1:18" x14ac:dyDescent="0.3">
      <c r="A52" s="2">
        <f>SUM(A1:A50) / 50</f>
        <v>4.9994000000000032</v>
      </c>
      <c r="B52" s="2">
        <f>SUM(B1:B50)</f>
        <v>-5.7906915387430757E-2</v>
      </c>
      <c r="C52">
        <f>SQRT( SUM(C1:C50) * 1/49)</f>
        <v>0.12948645008215148</v>
      </c>
    </row>
    <row r="53" spans="1:18" x14ac:dyDescent="0.3">
      <c r="A53" s="1" t="s">
        <v>0</v>
      </c>
      <c r="C53">
        <f>1/(C52*SQRT(PI() * 2))</f>
        <v>3.0809577384222635</v>
      </c>
    </row>
    <row r="55" spans="1:18" x14ac:dyDescent="0.3">
      <c r="C55">
        <f>SQRT(SUM(C1:C50) * 1/(50*49))</f>
        <v>1.831214938497254E-2</v>
      </c>
    </row>
    <row r="57" spans="1:18" ht="15" thickBot="1" x14ac:dyDescent="0.35">
      <c r="A57" s="1">
        <f>MIN(A1:A50)</f>
        <v>4.55</v>
      </c>
    </row>
    <row r="58" spans="1:18" x14ac:dyDescent="0.3">
      <c r="A58" s="1">
        <f>MAX(A1:A50)</f>
        <v>5.28</v>
      </c>
      <c r="F58" s="1">
        <f>A57</f>
        <v>4.55</v>
      </c>
      <c r="H58" s="3">
        <f>F58</f>
        <v>4.55</v>
      </c>
      <c r="I58" s="13">
        <f>COUNTIFS($A$1:$A$50, "&gt;="&amp;H58,$A$1:$A$50, "&lt;="&amp;H59)</f>
        <v>1</v>
      </c>
      <c r="J58" s="9">
        <f>I58/(50*$C$60)</f>
        <v>0.14184397163120568</v>
      </c>
      <c r="K58" s="8">
        <f>(H58+H59)/2</f>
        <v>4.6204999999999998</v>
      </c>
      <c r="L58" s="9">
        <f xml:space="preserve"> (1/($C$52*SQRT(2*PI()))) * EXP(-((K58-$A$52)^2/(2*$C$52*$C$52)))</f>
        <v>4.259538915811989E-2</v>
      </c>
    </row>
    <row r="59" spans="1:18" ht="15" thickBot="1" x14ac:dyDescent="0.35">
      <c r="B59" s="1">
        <f>A58-A57</f>
        <v>0.73000000000000043</v>
      </c>
      <c r="C59">
        <f>B59/7</f>
        <v>0.10428571428571434</v>
      </c>
      <c r="F59" s="1">
        <f>F58+C$60</f>
        <v>4.6909999999999998</v>
      </c>
      <c r="H59" s="4">
        <f>F$59</f>
        <v>4.6909999999999998</v>
      </c>
      <c r="I59" s="11"/>
      <c r="J59" s="5"/>
      <c r="K59" s="7"/>
      <c r="L59" s="5"/>
      <c r="M59">
        <v>1</v>
      </c>
      <c r="N59" t="s">
        <v>1</v>
      </c>
      <c r="O59">
        <f>$A$52-M59*$C$52</f>
        <v>4.8699135499178521</v>
      </c>
      <c r="P59">
        <f>$A$52+M59*$C$52</f>
        <v>5.1288864500821543</v>
      </c>
      <c r="Q59">
        <f>COUNTIFS($A$1:$A$50, "&gt;="&amp;$O59, $A$1:$A$50, "&lt;="&amp;$P59)</f>
        <v>36</v>
      </c>
      <c r="R59">
        <f>Q59/50</f>
        <v>0.72</v>
      </c>
    </row>
    <row r="60" spans="1:18" x14ac:dyDescent="0.3">
      <c r="C60">
        <f>0.141</f>
        <v>0.14099999999999999</v>
      </c>
      <c r="F60" s="1">
        <f t="shared" ref="F60:F65" si="1">F59+C$60</f>
        <v>4.8319999999999999</v>
      </c>
      <c r="H60" s="3">
        <f>F$59</f>
        <v>4.6909999999999998</v>
      </c>
      <c r="I60" s="11">
        <f>COUNTIFS($A$1:$A$50, "&gt;="&amp;H60,$A$1:$A$50, "&lt;="&amp;H61)</f>
        <v>7</v>
      </c>
      <c r="J60" s="5">
        <f t="shared" ref="J60" si="2">I60/(50*$C$60)</f>
        <v>0.99290780141843982</v>
      </c>
      <c r="K60" s="7">
        <f t="shared" ref="K60" si="3">(H60+H61)/2</f>
        <v>4.7614999999999998</v>
      </c>
      <c r="L60" s="5">
        <f t="shared" ref="L60" si="4" xml:space="preserve"> (1/($C$52*SQRT(2*PI()))) * EXP(-((K60-$A$52)^2/(2*$C$52*$C$52)))</f>
        <v>0.56977271388161288</v>
      </c>
      <c r="M60">
        <v>2</v>
      </c>
      <c r="N60" t="s">
        <v>2</v>
      </c>
      <c r="O60">
        <f t="shared" ref="O60" si="5">$A$52-M60*$C$52</f>
        <v>4.7404270998357001</v>
      </c>
      <c r="P60">
        <f t="shared" ref="P60:P61" si="6">$A$52+M60*$C$52</f>
        <v>5.2583729001643063</v>
      </c>
      <c r="Q60">
        <f>COUNTIFS($A$1:$A$50, "&gt;="&amp;$O60, $A$1:$A$50, "&lt;="&amp;$P60)</f>
        <v>47</v>
      </c>
      <c r="R60">
        <f t="shared" ref="R60:R61" si="7">Q60/50</f>
        <v>0.94</v>
      </c>
    </row>
    <row r="61" spans="1:18" ht="15" thickBot="1" x14ac:dyDescent="0.35">
      <c r="F61" s="1">
        <f t="shared" si="1"/>
        <v>4.9729999999999999</v>
      </c>
      <c r="H61" s="4">
        <f>F60</f>
        <v>4.8319999999999999</v>
      </c>
      <c r="I61" s="11"/>
      <c r="J61" s="5"/>
      <c r="K61" s="7"/>
      <c r="L61" s="5"/>
      <c r="M61">
        <v>3</v>
      </c>
      <c r="N61" t="s">
        <v>3</v>
      </c>
      <c r="O61">
        <f>$A$52-M61*$C$52</f>
        <v>4.610940649753549</v>
      </c>
      <c r="P61">
        <f t="shared" si="6"/>
        <v>5.3878593502464573</v>
      </c>
      <c r="Q61">
        <f>COUNTIFS($A$1:$A$50, "&gt;="&amp;$O61, $A$1:$A$50, "&lt;="&amp;$P61)</f>
        <v>49</v>
      </c>
      <c r="R61">
        <f t="shared" si="7"/>
        <v>0.98</v>
      </c>
    </row>
    <row r="62" spans="1:18" x14ac:dyDescent="0.3">
      <c r="F62" s="1">
        <f t="shared" si="1"/>
        <v>5.1139999999999999</v>
      </c>
      <c r="H62" s="3">
        <f>F60</f>
        <v>4.8319999999999999</v>
      </c>
      <c r="I62" s="11">
        <f t="shared" ref="I62" si="8">COUNTIFS($A$1:$A$50, "&gt;="&amp;H62,$A$1:$A$50, "&lt;="&amp;H63)</f>
        <v>11</v>
      </c>
      <c r="J62" s="5">
        <f t="shared" ref="J62" si="9">I62/(50*$C$60)</f>
        <v>1.5602836879432627</v>
      </c>
      <c r="K62" s="7">
        <f t="shared" ref="K62" si="10">(H62+H63)/2</f>
        <v>4.9024999999999999</v>
      </c>
      <c r="L62" s="5">
        <f t="shared" ref="L62" si="11" xml:space="preserve"> (1/($C$52*SQRT(2*PI()))) * EXP(-((K62-$A$52)^2/(2*$C$52*$C$52)))</f>
        <v>2.3285214363501208</v>
      </c>
    </row>
    <row r="63" spans="1:18" ht="15" thickBot="1" x14ac:dyDescent="0.35">
      <c r="F63" s="1">
        <f t="shared" si="1"/>
        <v>5.2549999999999999</v>
      </c>
      <c r="H63" s="4">
        <f>F61</f>
        <v>4.9729999999999999</v>
      </c>
      <c r="I63" s="11"/>
      <c r="J63" s="5"/>
      <c r="K63" s="7"/>
      <c r="L63" s="5"/>
    </row>
    <row r="64" spans="1:18" x14ac:dyDescent="0.3">
      <c r="F64" s="1">
        <f t="shared" si="1"/>
        <v>5.3959999999999999</v>
      </c>
      <c r="H64" s="3">
        <f>F61</f>
        <v>4.9729999999999999</v>
      </c>
      <c r="I64" s="11">
        <f t="shared" ref="I64" si="12">COUNTIFS($A$1:$A$50, "&gt;="&amp;H64,$A$1:$A$50, "&lt;="&amp;H65)</f>
        <v>21</v>
      </c>
      <c r="J64" s="5">
        <f t="shared" ref="J64" si="13">I64/(50*$C$60)</f>
        <v>2.9787234042553195</v>
      </c>
      <c r="K64" s="7">
        <f t="shared" ref="K64" si="14">(H64+H65)/2</f>
        <v>5.0434999999999999</v>
      </c>
      <c r="L64" s="5">
        <f t="shared" ref="L64" si="15" xml:space="preserve"> (1/($C$52*SQRT(2*PI()))) * EXP(-((K64-$A$52)^2/(2*$C$52*$C$52)))</f>
        <v>2.9073570460311662</v>
      </c>
    </row>
    <row r="65" spans="6:12" ht="15" thickBot="1" x14ac:dyDescent="0.35">
      <c r="F65" s="1">
        <f t="shared" si="1"/>
        <v>5.5369999999999999</v>
      </c>
      <c r="H65" s="4">
        <f>F62</f>
        <v>5.1139999999999999</v>
      </c>
      <c r="I65" s="11"/>
      <c r="J65" s="5"/>
      <c r="K65" s="7"/>
      <c r="L65" s="5"/>
    </row>
    <row r="66" spans="6:12" x14ac:dyDescent="0.3">
      <c r="H66" s="3">
        <f>F62</f>
        <v>5.1139999999999999</v>
      </c>
      <c r="I66" s="11">
        <f t="shared" ref="I66" si="16">COUNTIFS($A$1:$A$50, "&gt;="&amp;H66,$A$1:$A$50, "&lt;="&amp;H67)</f>
        <v>8</v>
      </c>
      <c r="J66" s="5">
        <f t="shared" ref="J66" si="17">I66/(50*$C$60)</f>
        <v>1.1347517730496455</v>
      </c>
      <c r="K66" s="7">
        <f t="shared" ref="K66" si="18">(H66+H67)/2</f>
        <v>5.1844999999999999</v>
      </c>
      <c r="L66" s="5">
        <f t="shared" ref="L66" si="19" xml:space="preserve"> (1/($C$52*SQRT(2*PI()))) * EXP(-((K66-$A$52)^2/(2*$C$52*$C$52)))</f>
        <v>1.1090625367393359</v>
      </c>
    </row>
    <row r="67" spans="6:12" ht="15" thickBot="1" x14ac:dyDescent="0.35">
      <c r="H67" s="4">
        <f>F63</f>
        <v>5.2549999999999999</v>
      </c>
      <c r="I67" s="11"/>
      <c r="J67" s="5"/>
      <c r="K67" s="7"/>
      <c r="L67" s="5"/>
    </row>
    <row r="68" spans="6:12" x14ac:dyDescent="0.3">
      <c r="H68" s="3">
        <f>F63</f>
        <v>5.2549999999999999</v>
      </c>
      <c r="I68" s="11">
        <f t="shared" ref="I68" si="20">COUNTIFS($A$1:$A$50, "&gt;="&amp;H68,$A$1:$A$50, "&lt;="&amp;H69)</f>
        <v>2</v>
      </c>
      <c r="J68" s="5">
        <f t="shared" ref="J68" si="21">I68/(50*$C$60)</f>
        <v>0.28368794326241137</v>
      </c>
      <c r="K68" s="7">
        <f t="shared" ref="K68" si="22">(H68+H69)/2</f>
        <v>5.3254999999999999</v>
      </c>
      <c r="L68" s="5">
        <f t="shared" ref="L68" si="23" xml:space="preserve"> (1/($C$52*SQRT(2*PI()))) * EXP(-((K68-$A$52)^2/(2*$C$52*$C$52)))</f>
        <v>0.12925675159708117</v>
      </c>
    </row>
    <row r="69" spans="6:12" ht="15" thickBot="1" x14ac:dyDescent="0.35">
      <c r="H69" s="4">
        <f>F64</f>
        <v>5.3959999999999999</v>
      </c>
      <c r="I69" s="11"/>
      <c r="J69" s="5"/>
      <c r="K69" s="7"/>
      <c r="L69" s="5"/>
    </row>
    <row r="70" spans="6:12" x14ac:dyDescent="0.3">
      <c r="H70" s="3">
        <f>F64</f>
        <v>5.3959999999999999</v>
      </c>
      <c r="I70" s="11">
        <f t="shared" ref="I70" si="24">COUNTIFS($A$1:$A$50, "&gt;="&amp;H70,$A$1:$A$50, "&lt;="&amp;H71)</f>
        <v>0</v>
      </c>
      <c r="J70" s="5">
        <f t="shared" ref="J70" si="25">I70/(50*$C$60)</f>
        <v>0</v>
      </c>
      <c r="K70" s="7">
        <f t="shared" ref="K70" si="26">(H70+H71)/2</f>
        <v>5.5030000000000001</v>
      </c>
      <c r="L70" s="5">
        <f t="shared" ref="L70" si="27" xml:space="preserve"> (1/($C$52*SQRT(2*PI()))) * EXP(-((K70-$A$52)^2/(2*$C$52*$C$52)))</f>
        <v>1.6000237377204016E-3</v>
      </c>
    </row>
    <row r="71" spans="6:12" ht="15" thickBot="1" x14ac:dyDescent="0.35">
      <c r="H71" s="4">
        <f>5.61</f>
        <v>5.61</v>
      </c>
      <c r="I71" s="12"/>
      <c r="J71" s="6"/>
      <c r="K71" s="10"/>
      <c r="L71" s="6"/>
    </row>
    <row r="74" spans="6:12" x14ac:dyDescent="0.3">
      <c r="J74">
        <f>SUM(J58:J71)</f>
        <v>7.092198581560285</v>
      </c>
    </row>
  </sheetData>
  <mergeCells count="28">
    <mergeCell ref="I70:I71"/>
    <mergeCell ref="J62:J63"/>
    <mergeCell ref="J60:J61"/>
    <mergeCell ref="J58:J59"/>
    <mergeCell ref="J70:J71"/>
    <mergeCell ref="J68:J69"/>
    <mergeCell ref="J66:J67"/>
    <mergeCell ref="J64:J65"/>
    <mergeCell ref="I58:I59"/>
    <mergeCell ref="I60:I61"/>
    <mergeCell ref="I62:I63"/>
    <mergeCell ref="I64:I65"/>
    <mergeCell ref="I66:I67"/>
    <mergeCell ref="I68:I69"/>
    <mergeCell ref="L66:L67"/>
    <mergeCell ref="L68:L69"/>
    <mergeCell ref="L70:L71"/>
    <mergeCell ref="K60:K61"/>
    <mergeCell ref="K58:K59"/>
    <mergeCell ref="L64:L65"/>
    <mergeCell ref="L62:L63"/>
    <mergeCell ref="L60:L61"/>
    <mergeCell ref="L58:L59"/>
    <mergeCell ref="K70:K71"/>
    <mergeCell ref="K68:K69"/>
    <mergeCell ref="K66:K67"/>
    <mergeCell ref="K64:K65"/>
    <mergeCell ref="K62:K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2024-09-09T20:15:47Z</dcterms:modified>
</cp:coreProperties>
</file>