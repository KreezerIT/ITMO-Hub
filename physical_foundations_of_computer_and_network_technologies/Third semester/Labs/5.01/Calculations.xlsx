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imsl\JetBrainsIDEProjects\CLionProjects\ITMO-Hub\physical_foundations_of_computer_and_network_technologies\Third semester\Labs\5.01\"/>
    </mc:Choice>
  </mc:AlternateContent>
  <xr:revisionPtr revIDLastSave="0" documentId="13_ncr:1_{F1D79017-2A1A-4277-8A92-C54DE5C7A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 a="1"/>
  <c r="W2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2" i="1"/>
  <c r="P24" i="1"/>
  <c r="N24" i="1"/>
  <c r="B19" i="1"/>
  <c r="L15" i="1"/>
  <c r="I15" i="1"/>
  <c r="H15" i="1"/>
  <c r="C19" i="1" s="1"/>
  <c r="H16" i="1" s="1"/>
  <c r="G15" i="1"/>
  <c r="F15" i="1"/>
  <c r="A19" i="1" s="1"/>
  <c r="I14" i="1"/>
  <c r="H14" i="1"/>
  <c r="G14" i="1"/>
  <c r="F14" i="1"/>
  <c r="L14" i="1" s="1"/>
  <c r="L13" i="1"/>
  <c r="I13" i="1"/>
  <c r="J13" i="1" s="1"/>
  <c r="K13" i="1" s="1"/>
  <c r="H13" i="1"/>
  <c r="G13" i="1"/>
  <c r="F13" i="1"/>
  <c r="I12" i="1"/>
  <c r="H12" i="1"/>
  <c r="G12" i="1"/>
  <c r="F12" i="1"/>
  <c r="L12" i="1" s="1"/>
  <c r="I11" i="1"/>
  <c r="H11" i="1"/>
  <c r="G11" i="1"/>
  <c r="F11" i="1"/>
  <c r="L11" i="1" s="1"/>
  <c r="L10" i="1"/>
  <c r="I10" i="1"/>
  <c r="H10" i="1"/>
  <c r="G10" i="1"/>
  <c r="F10" i="1"/>
  <c r="I9" i="1"/>
  <c r="H9" i="1"/>
  <c r="G9" i="1"/>
  <c r="F9" i="1"/>
  <c r="L9" i="1" s="1"/>
  <c r="L8" i="1"/>
  <c r="I8" i="1"/>
  <c r="H8" i="1"/>
  <c r="G8" i="1"/>
  <c r="F8" i="1"/>
  <c r="I7" i="1"/>
  <c r="H7" i="1"/>
  <c r="G7" i="1"/>
  <c r="L7" i="1" s="1"/>
  <c r="F7" i="1"/>
  <c r="I6" i="1"/>
  <c r="H6" i="1"/>
  <c r="G6" i="1"/>
  <c r="F6" i="1"/>
  <c r="L6" i="1" s="1"/>
  <c r="L5" i="1"/>
  <c r="J5" i="1"/>
  <c r="K5" i="1" s="1"/>
  <c r="L4" i="1"/>
  <c r="J4" i="1"/>
  <c r="K4" i="1" s="1"/>
  <c r="L3" i="1"/>
  <c r="J3" i="1"/>
  <c r="K3" i="1" s="1"/>
  <c r="J12" i="1" l="1"/>
  <c r="K12" i="1" s="1"/>
  <c r="J14" i="1"/>
  <c r="K14" i="1" s="1"/>
  <c r="J10" i="1"/>
  <c r="K10" i="1" s="1"/>
  <c r="M10" i="1" s="1"/>
  <c r="J7" i="1"/>
  <c r="K7" i="1" s="1"/>
  <c r="M7" i="1" s="1"/>
  <c r="J9" i="1"/>
  <c r="K9" i="1" s="1"/>
  <c r="J6" i="1"/>
  <c r="K6" i="1" s="1"/>
  <c r="M6" i="1" s="1"/>
  <c r="J11" i="1"/>
  <c r="K11" i="1" s="1"/>
  <c r="M11" i="1" s="1"/>
  <c r="J8" i="1"/>
  <c r="K8" i="1" s="1"/>
  <c r="M8" i="1" s="1"/>
  <c r="G16" i="1"/>
  <c r="G17" i="1" s="1"/>
  <c r="M14" i="1"/>
  <c r="M3" i="1"/>
  <c r="M4" i="1"/>
  <c r="M12" i="1"/>
  <c r="M5" i="1"/>
  <c r="M13" i="1"/>
  <c r="M9" i="1"/>
  <c r="L16" i="1"/>
  <c r="H17" i="1"/>
  <c r="J15" i="1"/>
  <c r="K15" i="1" s="1"/>
  <c r="M15" i="1" s="1"/>
  <c r="D19" i="1"/>
  <c r="I16" i="1" s="1"/>
  <c r="I17" i="1" l="1"/>
  <c r="I18" i="1" s="1"/>
  <c r="J16" i="1"/>
  <c r="K16" i="1" s="1"/>
  <c r="M16" i="1" s="1"/>
  <c r="J17" i="1"/>
  <c r="K17" i="1" s="1"/>
  <c r="H18" i="1"/>
  <c r="J18" i="1" s="1"/>
  <c r="K18" i="1" s="1"/>
  <c r="L17" i="1"/>
  <c r="M17" i="1" s="1"/>
  <c r="G18" i="1"/>
  <c r="L18" i="1" s="1"/>
  <c r="M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<sst xmlns="http://schemas.openxmlformats.org/spreadsheetml/2006/main" count="37" uniqueCount="23">
  <si>
    <t>Измеряемые величины</t>
  </si>
  <si>
    <t>Вычисляемые величины</t>
  </si>
  <si>
    <t>x100</t>
  </si>
  <si>
    <t>x1000</t>
  </si>
  <si>
    <t>I, мА</t>
  </si>
  <si>
    <t xml:space="preserve">U, В </t>
  </si>
  <si>
    <t>J1/J0</t>
  </si>
  <si>
    <t>J2/J0</t>
  </si>
  <si>
    <t>J1/J2</t>
  </si>
  <si>
    <t xml:space="preserve">T, K </t>
  </si>
  <si>
    <t>P, Вт</t>
  </si>
  <si>
    <t>AT</t>
  </si>
  <si>
    <t>λ₁, мкм</t>
  </si>
  <si>
    <t>λ₂, мкм</t>
  </si>
  <si>
    <t>C_2</t>
  </si>
  <si>
    <t>Z_0</t>
  </si>
  <si>
    <t>A_2000</t>
  </si>
  <si>
    <t>L</t>
  </si>
  <si>
    <t>P(2000 К), Вт</t>
  </si>
  <si>
    <t>K</t>
  </si>
  <si>
    <t>Погрешность, %</t>
  </si>
  <si>
    <t>Абс. Погр, %</t>
  </si>
  <si>
    <t>P, мВт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</si>
</sst>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Times New Roman"/>
    </font>
    <font>
      <sz val="1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0" borderId="1" xfId="0" applyBorder="1"/>
    <xf numFmtId="0" fontId="0" fillId="5" borderId="1" xfId="0" applyFill="1" applyBorder="1"/>
    <xf numFmtId="0" fontId="0" fillId="5" borderId="4" xfId="0" applyFill="1" applyBorder="1"/>
    <xf numFmtId="0" fontId="0" fillId="5" borderId="3" xfId="0" applyFill="1" applyBorder="1"/>
    <xf numFmtId="0" fontId="0" fillId="5" borderId="2" xfId="0" applyFill="1" applyBorder="1"/>
    <xf numFmtId="0" fontId="0" fillId="5" borderId="5" xfId="0" applyFill="1" applyBorder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Измеряемые величины/</a:t>
            </a:r>
            <a:r>
              <a:rPr lang="en-US" b="0">
                <a:solidFill>
                  <a:srgbClr val="757575"/>
                </a:solidFill>
                <a:latin typeface="+mn-lt"/>
              </a:rPr>
              <a:t>I, </a:t>
            </a:r>
            <a:r>
              <a:rPr lang="ru-RU" b="0">
                <a:solidFill>
                  <a:srgbClr val="757575"/>
                </a:solidFill>
                <a:latin typeface="+mn-lt"/>
              </a:rPr>
              <a:t>мА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Лист1!$F$3:$F$18</c:f>
              <c:numCache>
                <c:formatCode>General</c:formatCode>
                <c:ptCount val="16"/>
                <c:pt idx="0">
                  <c:v>194</c:v>
                </c:pt>
                <c:pt idx="1">
                  <c:v>202</c:v>
                </c:pt>
                <c:pt idx="2">
                  <c:v>209</c:v>
                </c:pt>
                <c:pt idx="3">
                  <c:v>217</c:v>
                </c:pt>
                <c:pt idx="4">
                  <c:v>223</c:v>
                </c:pt>
                <c:pt idx="5">
                  <c:v>232</c:v>
                </c:pt>
                <c:pt idx="6">
                  <c:v>239</c:v>
                </c:pt>
                <c:pt idx="7">
                  <c:v>245</c:v>
                </c:pt>
                <c:pt idx="8">
                  <c:v>252</c:v>
                </c:pt>
                <c:pt idx="9">
                  <c:v>260</c:v>
                </c:pt>
                <c:pt idx="10">
                  <c:v>264</c:v>
                </c:pt>
                <c:pt idx="11">
                  <c:v>270</c:v>
                </c:pt>
                <c:pt idx="12">
                  <c:v>275</c:v>
                </c:pt>
                <c:pt idx="13">
                  <c:v>280</c:v>
                </c:pt>
                <c:pt idx="14">
                  <c:v>287</c:v>
                </c:pt>
                <c:pt idx="15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23-4E32-A2D5-1346BF90E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526124"/>
        <c:axId val="1845693575"/>
      </c:lineChart>
      <c:catAx>
        <c:axId val="1036526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45693575"/>
        <c:crosses val="autoZero"/>
        <c:auto val="1"/>
        <c:lblAlgn val="ctr"/>
        <c:lblOffset val="100"/>
        <c:noMultiLvlLbl val="1"/>
      </c:catAx>
      <c:valAx>
        <c:axId val="1845693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Измеряемые величины/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I, </a:t>
                </a: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мА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365261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Измеряемые величины/</a:t>
            </a:r>
            <a:r>
              <a:rPr lang="en-US" b="0">
                <a:solidFill>
                  <a:srgbClr val="757575"/>
                </a:solidFill>
                <a:latin typeface="+mn-lt"/>
              </a:rPr>
              <a:t>U, </a:t>
            </a:r>
            <a:r>
              <a:rPr lang="ru-RU" b="0">
                <a:solidFill>
                  <a:srgbClr val="757575"/>
                </a:solidFill>
                <a:latin typeface="+mn-lt"/>
              </a:rPr>
              <a:t>В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Лист1!$G$3:$G$18</c:f>
              <c:numCache>
                <c:formatCode>General</c:formatCode>
                <c:ptCount val="16"/>
                <c:pt idx="0">
                  <c:v>5.05</c:v>
                </c:pt>
                <c:pt idx="1">
                  <c:v>5.55</c:v>
                </c:pt>
                <c:pt idx="2">
                  <c:v>6.04</c:v>
                </c:pt>
                <c:pt idx="3">
                  <c:v>6.52</c:v>
                </c:pt>
                <c:pt idx="4">
                  <c:v>6.97</c:v>
                </c:pt>
                <c:pt idx="5">
                  <c:v>7.59</c:v>
                </c:pt>
                <c:pt idx="6">
                  <c:v>8.01</c:v>
                </c:pt>
                <c:pt idx="7">
                  <c:v>8.5399999999999991</c:v>
                </c:pt>
                <c:pt idx="8">
                  <c:v>9.1</c:v>
                </c:pt>
                <c:pt idx="9">
                  <c:v>9.69</c:v>
                </c:pt>
                <c:pt idx="10">
                  <c:v>10.050000000000001</c:v>
                </c:pt>
                <c:pt idx="11">
                  <c:v>10.53</c:v>
                </c:pt>
                <c:pt idx="12">
                  <c:v>10.93</c:v>
                </c:pt>
                <c:pt idx="13">
                  <c:v>11.263617021276595</c:v>
                </c:pt>
                <c:pt idx="14">
                  <c:v>11.834615384615384</c:v>
                </c:pt>
                <c:pt idx="15">
                  <c:v>12.286923076923076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E-4D6B-A8E3-5D74DB197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5209060"/>
        <c:axId val="250896280"/>
      </c:lineChart>
      <c:catAx>
        <c:axId val="1825209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50896280"/>
        <c:crosses val="autoZero"/>
        <c:auto val="1"/>
        <c:lblAlgn val="ctr"/>
        <c:lblOffset val="100"/>
        <c:noMultiLvlLbl val="1"/>
      </c:catAx>
      <c:valAx>
        <c:axId val="250896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Измеряемые величины/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U, </a:t>
                </a: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В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252090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Измеряемые величины/</a:t>
            </a:r>
            <a:r>
              <a:rPr lang="en-US" b="0">
                <a:solidFill>
                  <a:srgbClr val="757575"/>
                </a:solidFill>
                <a:latin typeface="+mn-lt"/>
              </a:rPr>
              <a:t>J1/J0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Лист1!$H$3:$H$18</c:f>
              <c:numCache>
                <c:formatCode>General</c:formatCode>
                <c:ptCount val="16"/>
                <c:pt idx="0">
                  <c:v>0.01</c:v>
                </c:pt>
                <c:pt idx="1">
                  <c:v>1.9E-2</c:v>
                </c:pt>
                <c:pt idx="2">
                  <c:v>3.1E-2</c:v>
                </c:pt>
                <c:pt idx="3">
                  <c:v>4.7E-2</c:v>
                </c:pt>
                <c:pt idx="4">
                  <c:v>6.9000000000000006E-2</c:v>
                </c:pt>
                <c:pt idx="5">
                  <c:v>0.106</c:v>
                </c:pt>
                <c:pt idx="6">
                  <c:v>0.14599999999999999</c:v>
                </c:pt>
                <c:pt idx="7">
                  <c:v>0.19</c:v>
                </c:pt>
                <c:pt idx="8">
                  <c:v>0.254</c:v>
                </c:pt>
                <c:pt idx="9">
                  <c:v>0.33900000000000002</c:v>
                </c:pt>
                <c:pt idx="10">
                  <c:v>0.39800000000000002</c:v>
                </c:pt>
                <c:pt idx="11">
                  <c:v>0.48799999999999999</c:v>
                </c:pt>
                <c:pt idx="12">
                  <c:v>0.56999999999999995</c:v>
                </c:pt>
                <c:pt idx="13">
                  <c:v>0.61236016894918721</c:v>
                </c:pt>
                <c:pt idx="14">
                  <c:v>0.65395161909637778</c:v>
                </c:pt>
                <c:pt idx="15">
                  <c:v>0.69923076923076921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D-4AB6-8AA4-DC1045E59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835017"/>
        <c:axId val="605915476"/>
      </c:lineChart>
      <c:catAx>
        <c:axId val="1444835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05915476"/>
        <c:crosses val="autoZero"/>
        <c:auto val="1"/>
        <c:lblAlgn val="ctr"/>
        <c:lblOffset val="100"/>
        <c:noMultiLvlLbl val="1"/>
      </c:catAx>
      <c:valAx>
        <c:axId val="605915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Измеряемые величины/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J1/J0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448350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66675</xdr:rowOff>
    </xdr:from>
    <xdr:ext cx="5715000" cy="35337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104775</xdr:colOff>
      <xdr:row>24</xdr:row>
      <xdr:rowOff>133350</xdr:rowOff>
    </xdr:from>
    <xdr:ext cx="5715000" cy="3533775"/>
    <xdr:graphicFrame macro="">
      <xdr:nvGraphicFramePr>
        <xdr:cNvPr id="3" name="Chart 2" title="Диаграмм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857250</xdr:colOff>
      <xdr:row>35</xdr:row>
      <xdr:rowOff>38100</xdr:rowOff>
    </xdr:from>
    <xdr:ext cx="5715000" cy="3533775"/>
    <xdr:graphicFrame macro="">
      <xdr:nvGraphicFramePr>
        <xdr:cNvPr id="4" name="Chart 3" title="Диаграмма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43"/>
  <sheetViews>
    <sheetView tabSelected="1" topLeftCell="L1" zoomScale="80" workbookViewId="0">
      <selection activeCell="AG27" sqref="AG27"/>
    </sheetView>
  </sheetViews>
  <sheetFormatPr defaultColWidth="12.6640625" defaultRowHeight="15.75" customHeight="1" x14ac:dyDescent="0.25"/>
  <cols>
    <col min="21" max="21" width="14.33203125" customWidth="1"/>
    <col min="26" max="26" width="3" customWidth="1"/>
    <col min="27" max="27" width="4.88671875" customWidth="1"/>
    <col min="28" max="28" width="6" customWidth="1"/>
    <col min="29" max="30" width="6.5546875" customWidth="1"/>
    <col min="33" max="33" width="8.33203125" customWidth="1"/>
  </cols>
  <sheetData>
    <row r="1" spans="1:23" ht="13.2" x14ac:dyDescent="0.25">
      <c r="F1" s="13" t="s">
        <v>0</v>
      </c>
      <c r="G1" s="14"/>
      <c r="H1" s="14"/>
      <c r="I1" s="14"/>
      <c r="J1" s="13" t="s">
        <v>1</v>
      </c>
      <c r="K1" s="14"/>
      <c r="L1" s="14"/>
      <c r="M1" s="14"/>
      <c r="O1" s="1" t="s">
        <v>2</v>
      </c>
      <c r="P1" s="1" t="s">
        <v>3</v>
      </c>
      <c r="Q1" s="1" t="s">
        <v>3</v>
      </c>
      <c r="T1" s="1" t="s">
        <v>11</v>
      </c>
      <c r="U1" s="1" t="s">
        <v>20</v>
      </c>
      <c r="W1" t="s">
        <v>21</v>
      </c>
    </row>
    <row r="2" spans="1:23" ht="13.2" x14ac:dyDescent="0.25"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O2" s="1" t="s">
        <v>5</v>
      </c>
      <c r="P2" s="1" t="s">
        <v>6</v>
      </c>
      <c r="Q2" s="1" t="s">
        <v>7</v>
      </c>
      <c r="T2">
        <v>0.33650956141664934</v>
      </c>
      <c r="U2">
        <f>(T2-0.249)/0.249*100</f>
        <v>35.144402175361179</v>
      </c>
      <c r="W2" cm="1">
        <f t="array" ref="W2">SUM(ABS(U2:U17))/16</f>
        <v>9.2645099388678602</v>
      </c>
    </row>
    <row r="3" spans="1:23" ht="13.2" x14ac:dyDescent="0.25">
      <c r="E3" s="2">
        <v>1</v>
      </c>
      <c r="F3" s="2">
        <v>194</v>
      </c>
      <c r="G3" s="2">
        <v>5.05</v>
      </c>
      <c r="H3" s="2">
        <v>0.01</v>
      </c>
      <c r="I3" s="2">
        <v>0.11899999999999999</v>
      </c>
      <c r="J3" s="1">
        <f t="shared" ref="J3:J18" si="0">H3/I3</f>
        <v>8.4033613445378158E-2</v>
      </c>
      <c r="K3" s="1">
        <f t="shared" ref="K3:K18" si="1">$N$24/(LN(J3)-$Q$21)</f>
        <v>1524.3424785358925</v>
      </c>
      <c r="L3" s="1">
        <f t="shared" ref="L3:L18" si="2">F3*G3</f>
        <v>979.69999999999993</v>
      </c>
      <c r="M3" s="1">
        <f t="shared" ref="M3:M18" si="3">$R$21*$P$24*(L3/POWER(K3,4))</f>
        <v>0.33650956141664934</v>
      </c>
      <c r="T3">
        <v>0.30561584511784617</v>
      </c>
      <c r="U3">
        <f t="shared" ref="U3:U17" si="4">(T3-0.249)/0.249*100</f>
        <v>22.737287195922161</v>
      </c>
    </row>
    <row r="4" spans="1:23" ht="13.2" x14ac:dyDescent="0.25">
      <c r="E4" s="1">
        <v>2</v>
      </c>
      <c r="F4" s="1">
        <v>202</v>
      </c>
      <c r="G4" s="1">
        <v>5.55</v>
      </c>
      <c r="H4" s="1">
        <v>1.9E-2</v>
      </c>
      <c r="I4" s="1">
        <v>0.17799999999999999</v>
      </c>
      <c r="J4" s="1">
        <f t="shared" si="0"/>
        <v>0.10674157303370786</v>
      </c>
      <c r="K4" s="1">
        <f t="shared" si="1"/>
        <v>1615.0119816553054</v>
      </c>
      <c r="L4" s="1">
        <f t="shared" si="2"/>
        <v>1121.0999999999999</v>
      </c>
      <c r="M4" s="1">
        <f t="shared" si="3"/>
        <v>0.30561584511784617</v>
      </c>
      <c r="T4">
        <v>0.29562070527663215</v>
      </c>
      <c r="U4">
        <f t="shared" si="4"/>
        <v>18.723174809892427</v>
      </c>
    </row>
    <row r="5" spans="1:23" ht="13.2" x14ac:dyDescent="0.25">
      <c r="E5" s="1">
        <v>3</v>
      </c>
      <c r="F5" s="1">
        <v>209</v>
      </c>
      <c r="G5" s="1">
        <v>6.04</v>
      </c>
      <c r="H5" s="1">
        <v>3.1E-2</v>
      </c>
      <c r="I5" s="1">
        <v>0.25</v>
      </c>
      <c r="J5" s="1">
        <f t="shared" si="0"/>
        <v>0.124</v>
      </c>
      <c r="K5" s="1">
        <f t="shared" si="1"/>
        <v>1677.5316444205528</v>
      </c>
      <c r="L5" s="1">
        <f t="shared" si="2"/>
        <v>1262.3599999999999</v>
      </c>
      <c r="M5" s="1">
        <f t="shared" si="3"/>
        <v>0.29562070527663215</v>
      </c>
      <c r="T5">
        <v>0.28546125753567203</v>
      </c>
      <c r="U5">
        <f t="shared" si="4"/>
        <v>14.643075315530938</v>
      </c>
    </row>
    <row r="6" spans="1:23" ht="13.2" x14ac:dyDescent="0.25">
      <c r="E6" s="1">
        <v>4</v>
      </c>
      <c r="F6" s="1">
        <f t="shared" ref="F6:F15" si="5">N6</f>
        <v>217</v>
      </c>
      <c r="G6" s="1">
        <f t="shared" ref="G6:G15" si="6">O6/100</f>
        <v>6.52</v>
      </c>
      <c r="H6" s="1">
        <f t="shared" ref="H6:I6" si="7">P6/1000</f>
        <v>4.7E-2</v>
      </c>
      <c r="I6" s="1">
        <f t="shared" si="7"/>
        <v>0.32900000000000001</v>
      </c>
      <c r="J6" s="1">
        <f t="shared" si="0"/>
        <v>0.14285714285714285</v>
      </c>
      <c r="K6" s="1">
        <f t="shared" si="1"/>
        <v>1741.2000303485379</v>
      </c>
      <c r="L6" s="1">
        <f t="shared" si="2"/>
        <v>1414.84</v>
      </c>
      <c r="M6" s="1">
        <f t="shared" si="3"/>
        <v>0.28546125753567203</v>
      </c>
      <c r="N6" s="1">
        <v>217</v>
      </c>
      <c r="O6" s="1">
        <v>652</v>
      </c>
      <c r="P6" s="1">
        <v>47</v>
      </c>
      <c r="Q6" s="1">
        <v>329</v>
      </c>
      <c r="T6">
        <v>0.27416578304281319</v>
      </c>
      <c r="U6">
        <f t="shared" si="4"/>
        <v>10.106740177836624</v>
      </c>
    </row>
    <row r="7" spans="1:23" ht="13.2" x14ac:dyDescent="0.25">
      <c r="E7" s="1">
        <v>5</v>
      </c>
      <c r="F7" s="1">
        <f t="shared" si="5"/>
        <v>223</v>
      </c>
      <c r="G7" s="1">
        <f t="shared" si="6"/>
        <v>6.97</v>
      </c>
      <c r="H7" s="1">
        <f t="shared" ref="H7:I7" si="8">P7/1000</f>
        <v>6.9000000000000006E-2</v>
      </c>
      <c r="I7" s="1">
        <f t="shared" si="8"/>
        <v>0.42699999999999999</v>
      </c>
      <c r="J7" s="1">
        <f t="shared" si="0"/>
        <v>0.16159250585480095</v>
      </c>
      <c r="K7" s="1">
        <f t="shared" si="1"/>
        <v>1800.6932000962079</v>
      </c>
      <c r="L7" s="1">
        <f t="shared" si="2"/>
        <v>1554.31</v>
      </c>
      <c r="M7" s="1">
        <f t="shared" si="3"/>
        <v>0.27416578304281319</v>
      </c>
      <c r="N7" s="1">
        <v>223</v>
      </c>
      <c r="O7" s="1">
        <v>697</v>
      </c>
      <c r="P7" s="1">
        <v>69</v>
      </c>
      <c r="Q7" s="1">
        <v>427</v>
      </c>
      <c r="T7">
        <v>0.2633555487308169</v>
      </c>
      <c r="U7">
        <f t="shared" si="4"/>
        <v>5.7652806147859046</v>
      </c>
    </row>
    <row r="8" spans="1:23" ht="13.2" x14ac:dyDescent="0.25">
      <c r="E8" s="1">
        <v>6</v>
      </c>
      <c r="F8" s="1">
        <f t="shared" si="5"/>
        <v>232</v>
      </c>
      <c r="G8" s="1">
        <f t="shared" si="6"/>
        <v>7.59</v>
      </c>
      <c r="H8" s="1">
        <f t="shared" ref="H8:I8" si="9">P8/1000</f>
        <v>0.106</v>
      </c>
      <c r="I8" s="1">
        <f t="shared" si="9"/>
        <v>0.56699999999999995</v>
      </c>
      <c r="J8" s="1">
        <f t="shared" si="0"/>
        <v>0.1869488536155203</v>
      </c>
      <c r="K8" s="1">
        <f t="shared" si="1"/>
        <v>1876.5297294887969</v>
      </c>
      <c r="L8" s="1">
        <f t="shared" si="2"/>
        <v>1760.8799999999999</v>
      </c>
      <c r="M8" s="1">
        <f t="shared" si="3"/>
        <v>0.2633555487308169</v>
      </c>
      <c r="N8" s="1">
        <v>232</v>
      </c>
      <c r="O8" s="1">
        <v>759</v>
      </c>
      <c r="P8" s="1">
        <v>106</v>
      </c>
      <c r="Q8" s="1">
        <v>567</v>
      </c>
      <c r="T8">
        <v>0.25478273233336191</v>
      </c>
      <c r="U8">
        <f t="shared" si="4"/>
        <v>2.3223824631975529</v>
      </c>
    </row>
    <row r="9" spans="1:23" ht="13.2" x14ac:dyDescent="0.25">
      <c r="E9" s="1">
        <v>7</v>
      </c>
      <c r="F9" s="1">
        <f t="shared" si="5"/>
        <v>239</v>
      </c>
      <c r="G9" s="1">
        <f t="shared" si="6"/>
        <v>8.01</v>
      </c>
      <c r="H9" s="1">
        <f t="shared" ref="H9:I9" si="10">P9/1000</f>
        <v>0.14599999999999999</v>
      </c>
      <c r="I9" s="1">
        <f t="shared" si="10"/>
        <v>0.70699999999999996</v>
      </c>
      <c r="J9" s="1">
        <f t="shared" si="0"/>
        <v>0.2065063649222065</v>
      </c>
      <c r="K9" s="1">
        <f t="shared" si="1"/>
        <v>1932.0739006318431</v>
      </c>
      <c r="L9" s="1">
        <f t="shared" si="2"/>
        <v>1914.3899999999999</v>
      </c>
      <c r="M9" s="1">
        <f t="shared" si="3"/>
        <v>0.25478273233336191</v>
      </c>
      <c r="N9" s="1">
        <v>239</v>
      </c>
      <c r="O9" s="1">
        <v>801</v>
      </c>
      <c r="P9" s="1">
        <v>146</v>
      </c>
      <c r="Q9" s="1">
        <v>707</v>
      </c>
      <c r="T9">
        <v>0.25022160183906889</v>
      </c>
      <c r="U9">
        <f t="shared" si="4"/>
        <v>0.49060314822043632</v>
      </c>
    </row>
    <row r="10" spans="1:23" ht="13.2" x14ac:dyDescent="0.25">
      <c r="E10" s="1">
        <v>8</v>
      </c>
      <c r="F10" s="1">
        <f t="shared" si="5"/>
        <v>245</v>
      </c>
      <c r="G10" s="1">
        <f t="shared" si="6"/>
        <v>8.5399999999999991</v>
      </c>
      <c r="H10" s="1">
        <f t="shared" ref="H10:I10" si="11">P10/1000</f>
        <v>0.19</v>
      </c>
      <c r="I10" s="1">
        <f t="shared" si="11"/>
        <v>0.84199999999999997</v>
      </c>
      <c r="J10" s="1">
        <f t="shared" si="0"/>
        <v>0.22565320665083136</v>
      </c>
      <c r="K10" s="1">
        <f t="shared" si="1"/>
        <v>1984.4191805519072</v>
      </c>
      <c r="L10" s="1">
        <f t="shared" si="2"/>
        <v>2092.2999999999997</v>
      </c>
      <c r="M10" s="1">
        <f t="shared" si="3"/>
        <v>0.25022160183906889</v>
      </c>
      <c r="N10" s="1">
        <v>245</v>
      </c>
      <c r="O10" s="1">
        <v>854</v>
      </c>
      <c r="P10" s="1">
        <v>190</v>
      </c>
      <c r="Q10" s="1">
        <v>842</v>
      </c>
      <c r="T10">
        <v>0.24538017639427934</v>
      </c>
      <c r="U10">
        <f t="shared" si="4"/>
        <v>-1.4537444199681373</v>
      </c>
    </row>
    <row r="11" spans="1:23" ht="13.2" x14ac:dyDescent="0.25">
      <c r="E11" s="1">
        <v>9</v>
      </c>
      <c r="F11" s="1">
        <f t="shared" si="5"/>
        <v>252</v>
      </c>
      <c r="G11" s="1">
        <f t="shared" si="6"/>
        <v>9.1</v>
      </c>
      <c r="H11" s="1">
        <f t="shared" ref="H11:I11" si="12">P11/1000</f>
        <v>0.254</v>
      </c>
      <c r="I11" s="1">
        <f t="shared" si="12"/>
        <v>1.0289999999999999</v>
      </c>
      <c r="J11" s="1">
        <f t="shared" si="0"/>
        <v>0.24684159378036932</v>
      </c>
      <c r="K11" s="1">
        <f t="shared" si="1"/>
        <v>2040.3714688039222</v>
      </c>
      <c r="L11" s="1">
        <f t="shared" si="2"/>
        <v>2293.1999999999998</v>
      </c>
      <c r="M11" s="1">
        <f t="shared" si="3"/>
        <v>0.24538017639427934</v>
      </c>
      <c r="N11" s="1">
        <v>252</v>
      </c>
      <c r="O11" s="1">
        <v>910</v>
      </c>
      <c r="P11" s="1">
        <v>254</v>
      </c>
      <c r="Q11" s="1">
        <v>1029</v>
      </c>
      <c r="T11">
        <v>0.24007891792442701</v>
      </c>
      <c r="U11">
        <f t="shared" si="4"/>
        <v>-3.5827638857722848</v>
      </c>
    </row>
    <row r="12" spans="1:23" ht="13.2" x14ac:dyDescent="0.25">
      <c r="E12" s="1">
        <v>10</v>
      </c>
      <c r="F12" s="1">
        <f t="shared" si="5"/>
        <v>260</v>
      </c>
      <c r="G12" s="1">
        <f t="shared" si="6"/>
        <v>9.69</v>
      </c>
      <c r="H12" s="1">
        <f t="shared" ref="H12:I12" si="13">P12/1000</f>
        <v>0.33900000000000002</v>
      </c>
      <c r="I12" s="1">
        <f t="shared" si="13"/>
        <v>1.254</v>
      </c>
      <c r="J12" s="1">
        <f t="shared" si="0"/>
        <v>0.27033492822966509</v>
      </c>
      <c r="K12" s="1">
        <f t="shared" si="1"/>
        <v>2100.3632088373201</v>
      </c>
      <c r="L12" s="1">
        <f t="shared" si="2"/>
        <v>2519.4</v>
      </c>
      <c r="M12" s="1">
        <f t="shared" si="3"/>
        <v>0.24007891792442701</v>
      </c>
      <c r="N12" s="1">
        <v>260</v>
      </c>
      <c r="O12" s="1">
        <v>969</v>
      </c>
      <c r="P12" s="1">
        <v>339</v>
      </c>
      <c r="Q12" s="1">
        <v>1254</v>
      </c>
      <c r="T12">
        <v>0.2367690815239881</v>
      </c>
      <c r="U12">
        <f t="shared" si="4"/>
        <v>-4.9120154522136161</v>
      </c>
    </row>
    <row r="13" spans="1:23" ht="13.2" x14ac:dyDescent="0.25">
      <c r="E13" s="1">
        <v>11</v>
      </c>
      <c r="F13" s="1">
        <f t="shared" si="5"/>
        <v>264</v>
      </c>
      <c r="G13" s="1">
        <f t="shared" si="6"/>
        <v>10.050000000000001</v>
      </c>
      <c r="H13" s="1">
        <f t="shared" ref="H13:I13" si="14">P13/1000</f>
        <v>0.39800000000000002</v>
      </c>
      <c r="I13" s="1">
        <f t="shared" si="14"/>
        <v>1.4</v>
      </c>
      <c r="J13" s="1">
        <f t="shared" si="0"/>
        <v>0.28428571428571431</v>
      </c>
      <c r="K13" s="1">
        <f t="shared" si="1"/>
        <v>2135.1081441416168</v>
      </c>
      <c r="L13" s="1">
        <f t="shared" si="2"/>
        <v>2653.2000000000003</v>
      </c>
      <c r="M13" s="1">
        <f t="shared" si="3"/>
        <v>0.2367690815239881</v>
      </c>
      <c r="N13" s="1">
        <v>264</v>
      </c>
      <c r="O13" s="1">
        <v>1005</v>
      </c>
      <c r="P13" s="1">
        <v>398</v>
      </c>
      <c r="Q13" s="1">
        <v>1400</v>
      </c>
      <c r="T13">
        <v>0.23202327576158654</v>
      </c>
      <c r="U13">
        <f t="shared" si="4"/>
        <v>-6.8179615415315071</v>
      </c>
    </row>
    <row r="14" spans="1:23" ht="13.2" x14ac:dyDescent="0.25">
      <c r="E14" s="1">
        <v>12</v>
      </c>
      <c r="F14" s="1">
        <f t="shared" si="5"/>
        <v>270</v>
      </c>
      <c r="G14" s="1">
        <f t="shared" si="6"/>
        <v>10.53</v>
      </c>
      <c r="H14" s="1">
        <f t="shared" ref="H14:I14" si="15">P14/1000</f>
        <v>0.48799999999999999</v>
      </c>
      <c r="I14" s="1">
        <f t="shared" si="15"/>
        <v>1.605</v>
      </c>
      <c r="J14" s="1">
        <f t="shared" si="0"/>
        <v>0.30404984423676013</v>
      </c>
      <c r="K14" s="1">
        <f t="shared" si="1"/>
        <v>2183.3520721704945</v>
      </c>
      <c r="L14" s="1">
        <f t="shared" si="2"/>
        <v>2843.1</v>
      </c>
      <c r="M14" s="1">
        <f t="shared" si="3"/>
        <v>0.23202327576158654</v>
      </c>
      <c r="N14" s="1">
        <v>270</v>
      </c>
      <c r="O14" s="1">
        <v>1053</v>
      </c>
      <c r="P14" s="1">
        <v>488</v>
      </c>
      <c r="Q14" s="1">
        <v>1605</v>
      </c>
      <c r="T14">
        <v>0.22846586744151187</v>
      </c>
      <c r="U14">
        <f t="shared" si="4"/>
        <v>-8.2466395817221407</v>
      </c>
    </row>
    <row r="15" spans="1:23" ht="13.2" x14ac:dyDescent="0.25">
      <c r="E15" s="1">
        <v>13</v>
      </c>
      <c r="F15" s="1">
        <f t="shared" si="5"/>
        <v>275</v>
      </c>
      <c r="G15" s="1">
        <f t="shared" si="6"/>
        <v>10.93</v>
      </c>
      <c r="H15" s="1">
        <f t="shared" ref="H15:I15" si="16">P15/1000</f>
        <v>0.56999999999999995</v>
      </c>
      <c r="I15" s="1">
        <f t="shared" si="16"/>
        <v>1.7789999999999999</v>
      </c>
      <c r="J15" s="1">
        <f t="shared" si="0"/>
        <v>0.32040472175379425</v>
      </c>
      <c r="K15" s="1">
        <f t="shared" si="1"/>
        <v>2222.4986699394972</v>
      </c>
      <c r="L15" s="1">
        <f t="shared" si="2"/>
        <v>3005.75</v>
      </c>
      <c r="M15" s="1">
        <f t="shared" si="3"/>
        <v>0.22846586744151187</v>
      </c>
      <c r="N15" s="1">
        <v>275</v>
      </c>
      <c r="O15" s="1">
        <v>1093</v>
      </c>
      <c r="P15" s="1">
        <v>570</v>
      </c>
      <c r="Q15" s="1">
        <v>1779</v>
      </c>
      <c r="T15">
        <v>0.23879014591287206</v>
      </c>
      <c r="U15">
        <f t="shared" si="4"/>
        <v>-4.1003430068786884</v>
      </c>
    </row>
    <row r="16" spans="1:23" ht="13.2" x14ac:dyDescent="0.25">
      <c r="A16" s="1">
        <v>567</v>
      </c>
      <c r="B16" s="1">
        <v>312</v>
      </c>
      <c r="C16" s="1">
        <v>7880</v>
      </c>
      <c r="D16" s="1">
        <v>49382</v>
      </c>
      <c r="E16" s="1">
        <v>14</v>
      </c>
      <c r="F16" s="3">
        <v>280</v>
      </c>
      <c r="G16" s="3">
        <f t="shared" ref="G16:I16" si="17">G15+B$19*B16/AVERAGE(B$16:B$18)</f>
        <v>11.263617021276595</v>
      </c>
      <c r="H16" s="4">
        <f t="shared" si="17"/>
        <v>0.61236016894918721</v>
      </c>
      <c r="I16" s="4">
        <f t="shared" si="17"/>
        <v>1.9057919450353531</v>
      </c>
      <c r="J16" s="1">
        <f t="shared" si="0"/>
        <v>0.32131533063952988</v>
      </c>
      <c r="K16" s="1">
        <f t="shared" si="1"/>
        <v>2224.6592707670925</v>
      </c>
      <c r="L16" s="1">
        <f t="shared" si="2"/>
        <v>3153.8127659574466</v>
      </c>
      <c r="M16" s="1">
        <f t="shared" si="3"/>
        <v>0.23879014591287206</v>
      </c>
      <c r="T16">
        <v>0.25255361644802843</v>
      </c>
      <c r="U16">
        <f t="shared" si="4"/>
        <v>1.4271552000114174</v>
      </c>
    </row>
    <row r="17" spans="1:34" ht="13.2" x14ac:dyDescent="0.25">
      <c r="A17" s="1">
        <v>586</v>
      </c>
      <c r="B17" s="1">
        <v>534</v>
      </c>
      <c r="C17" s="1">
        <v>7737</v>
      </c>
      <c r="D17" s="1">
        <v>40032</v>
      </c>
      <c r="E17" s="1">
        <v>15</v>
      </c>
      <c r="F17" s="3">
        <v>287</v>
      </c>
      <c r="G17" s="3">
        <f t="shared" ref="G17:I17" si="18">G16+B$19*B17/AVERAGE(B$16:B$18)</f>
        <v>11.834615384615384</v>
      </c>
      <c r="H17" s="4">
        <f t="shared" si="18"/>
        <v>0.65395161909637778</v>
      </c>
      <c r="I17" s="4">
        <f t="shared" si="18"/>
        <v>2.0085770720787144</v>
      </c>
      <c r="J17" s="1">
        <f t="shared" si="0"/>
        <v>0.325579549914702</v>
      </c>
      <c r="K17" s="1">
        <f t="shared" si="1"/>
        <v>2234.7515163295639</v>
      </c>
      <c r="L17" s="1">
        <f t="shared" si="2"/>
        <v>3396.5346153846153</v>
      </c>
      <c r="M17" s="1">
        <f t="shared" si="3"/>
        <v>0.25255361644802843</v>
      </c>
      <c r="T17">
        <v>0.26831888918227148</v>
      </c>
      <c r="U17">
        <f t="shared" si="4"/>
        <v>7.7585900330407558</v>
      </c>
    </row>
    <row r="18" spans="1:34" ht="13.2" x14ac:dyDescent="0.25">
      <c r="A18" s="1">
        <v>598</v>
      </c>
      <c r="B18" s="1">
        <v>423</v>
      </c>
      <c r="C18" s="1">
        <v>8423</v>
      </c>
      <c r="D18" s="1">
        <v>59784</v>
      </c>
      <c r="E18" s="1">
        <v>16</v>
      </c>
      <c r="F18" s="3">
        <v>291</v>
      </c>
      <c r="G18" s="3">
        <f t="shared" ref="G18:I18" si="19">G17+B$19*B18/AVERAGE(B$16:B$18)</f>
        <v>12.286923076923076</v>
      </c>
      <c r="H18" s="4">
        <f t="shared" si="19"/>
        <v>0.69923076923076921</v>
      </c>
      <c r="I18" s="4">
        <f t="shared" si="19"/>
        <v>2.1620769230769232</v>
      </c>
      <c r="J18" s="1">
        <f t="shared" si="0"/>
        <v>0.32340698046749916</v>
      </c>
      <c r="K18" s="1">
        <f t="shared" si="1"/>
        <v>2229.6148464616108</v>
      </c>
      <c r="L18" s="1">
        <f t="shared" si="2"/>
        <v>3575.4946153846149</v>
      </c>
      <c r="M18" s="1">
        <f t="shared" si="3"/>
        <v>0.26831888918227148</v>
      </c>
    </row>
    <row r="19" spans="1:34" ht="13.2" x14ac:dyDescent="0.25">
      <c r="A19" s="1">
        <f>(F15-F3)/E15</f>
        <v>6.2307692307692308</v>
      </c>
      <c r="B19" s="1">
        <f>(G15-G3)/E15</f>
        <v>0.4523076923076923</v>
      </c>
      <c r="C19" s="1">
        <f t="shared" ref="C19:D19" si="20">(H15-H3)/$E15</f>
        <v>4.3076923076923075E-2</v>
      </c>
      <c r="D19" s="1">
        <f t="shared" si="20"/>
        <v>0.12769230769230769</v>
      </c>
    </row>
    <row r="20" spans="1:34" ht="13.2" x14ac:dyDescent="0.25">
      <c r="N20" s="5" t="s">
        <v>12</v>
      </c>
      <c r="O20" s="5" t="s">
        <v>13</v>
      </c>
      <c r="P20" s="1" t="s">
        <v>14</v>
      </c>
      <c r="Q20" s="1" t="s">
        <v>15</v>
      </c>
      <c r="R20" s="1" t="s">
        <v>16</v>
      </c>
    </row>
    <row r="21" spans="1:34" ht="13.2" x14ac:dyDescent="0.25">
      <c r="N21" s="1">
        <v>6.6000000000000003E-7</v>
      </c>
      <c r="O21" s="1">
        <v>9.4E-7</v>
      </c>
      <c r="P21" s="1">
        <v>1.439E-2</v>
      </c>
      <c r="Q21" s="1">
        <v>1.784</v>
      </c>
      <c r="R21" s="1">
        <v>0.249</v>
      </c>
    </row>
    <row r="23" spans="1:34" ht="13.2" x14ac:dyDescent="0.25">
      <c r="N23" s="1" t="s">
        <v>17</v>
      </c>
      <c r="O23" s="1" t="s">
        <v>18</v>
      </c>
      <c r="P23" s="1" t="s">
        <v>19</v>
      </c>
    </row>
    <row r="24" spans="1:34" ht="13.2" x14ac:dyDescent="0.25">
      <c r="N24" s="1">
        <f>P21*(1/O21 - 1/N21)</f>
        <v>-6494.519664732431</v>
      </c>
      <c r="O24" s="1">
        <v>2148.25</v>
      </c>
      <c r="P24" s="1">
        <f>POWER(2000,4)/(O24)</f>
        <v>7447922727.8016987</v>
      </c>
    </row>
    <row r="26" spans="1:34" ht="15.75" customHeight="1" x14ac:dyDescent="0.25">
      <c r="N26" s="12"/>
      <c r="O26" s="12"/>
      <c r="P26" s="12"/>
      <c r="Q26" s="12"/>
      <c r="R26" s="12"/>
      <c r="S26" s="12"/>
      <c r="T26" s="12"/>
      <c r="U26" s="12"/>
      <c r="V26" s="12"/>
      <c r="Z26" s="7"/>
      <c r="AA26" s="7" t="s">
        <v>0</v>
      </c>
      <c r="AB26" s="7"/>
      <c r="AC26" s="7"/>
      <c r="AD26" s="7"/>
      <c r="AE26" s="7" t="s">
        <v>1</v>
      </c>
      <c r="AF26" s="8"/>
      <c r="AG26" s="11"/>
      <c r="AH26" s="10"/>
    </row>
    <row r="27" spans="1:34" ht="15.75" customHeight="1" x14ac:dyDescent="0.25">
      <c r="N27" s="12"/>
      <c r="O27" s="12"/>
      <c r="P27" s="12"/>
      <c r="Q27" s="12"/>
      <c r="R27" s="12"/>
      <c r="S27" s="12"/>
      <c r="T27" s="12"/>
      <c r="U27" s="12"/>
      <c r="V27" s="12"/>
      <c r="Z27" s="7"/>
      <c r="AA27" s="7" t="s">
        <v>4</v>
      </c>
      <c r="AB27" s="7" t="s">
        <v>5</v>
      </c>
      <c r="AC27" s="7" t="s">
        <v>6</v>
      </c>
      <c r="AD27" s="7" t="s">
        <v>7</v>
      </c>
      <c r="AE27" s="7" t="s">
        <v>8</v>
      </c>
      <c r="AF27" s="7" t="s">
        <v>9</v>
      </c>
      <c r="AG27" s="9" t="s">
        <v>22</v>
      </c>
      <c r="AH27" s="7" t="s">
        <v>11</v>
      </c>
    </row>
    <row r="28" spans="1:34" ht="15.75" customHeight="1" x14ac:dyDescent="0.25">
      <c r="Z28" s="6">
        <v>1</v>
      </c>
      <c r="AA28" s="6">
        <v>194</v>
      </c>
      <c r="AB28" s="6">
        <v>5.05</v>
      </c>
      <c r="AC28" s="6">
        <v>0.01</v>
      </c>
      <c r="AD28" s="6">
        <v>0.11899999999999999</v>
      </c>
      <c r="AE28" s="6">
        <v>8.4033613445378158E-2</v>
      </c>
      <c r="AF28" s="6">
        <v>1524.3424785358925</v>
      </c>
      <c r="AG28" s="6">
        <v>979.69999999999993</v>
      </c>
      <c r="AH28" s="6">
        <v>0.33650956141664934</v>
      </c>
    </row>
    <row r="29" spans="1:34" ht="15.75" customHeight="1" x14ac:dyDescent="0.25">
      <c r="Z29" s="6">
        <v>2</v>
      </c>
      <c r="AA29" s="6">
        <v>202</v>
      </c>
      <c r="AB29" s="6">
        <v>5.55</v>
      </c>
      <c r="AC29" s="6">
        <v>1.9E-2</v>
      </c>
      <c r="AD29" s="6">
        <v>0.17799999999999999</v>
      </c>
      <c r="AE29" s="6">
        <v>0.10674157303370786</v>
      </c>
      <c r="AF29" s="6">
        <v>1615.0119816553054</v>
      </c>
      <c r="AG29" s="6">
        <v>1121.0999999999999</v>
      </c>
      <c r="AH29" s="6">
        <v>0.30561584511784617</v>
      </c>
    </row>
    <row r="30" spans="1:34" ht="15.75" customHeight="1" x14ac:dyDescent="0.25">
      <c r="Z30" s="6">
        <v>3</v>
      </c>
      <c r="AA30" s="6">
        <v>209</v>
      </c>
      <c r="AB30" s="6">
        <v>6.04</v>
      </c>
      <c r="AC30" s="6">
        <v>3.1E-2</v>
      </c>
      <c r="AD30" s="6">
        <v>0.25</v>
      </c>
      <c r="AE30" s="6">
        <v>0.124</v>
      </c>
      <c r="AF30" s="6">
        <v>1677.5316444205528</v>
      </c>
      <c r="AG30" s="6">
        <v>1262.3599999999999</v>
      </c>
      <c r="AH30" s="6">
        <v>0.29562070527663215</v>
      </c>
    </row>
    <row r="31" spans="1:34" ht="15.75" customHeight="1" x14ac:dyDescent="0.25">
      <c r="Z31" s="6">
        <v>4</v>
      </c>
      <c r="AA31" s="6">
        <v>217</v>
      </c>
      <c r="AB31" s="6">
        <v>6.52</v>
      </c>
      <c r="AC31" s="6">
        <v>4.7E-2</v>
      </c>
      <c r="AD31" s="6">
        <v>0.32900000000000001</v>
      </c>
      <c r="AE31" s="6">
        <v>0.14285714285714285</v>
      </c>
      <c r="AF31" s="6">
        <v>1741.2000303485379</v>
      </c>
      <c r="AG31" s="6">
        <v>1414.84</v>
      </c>
      <c r="AH31" s="6">
        <v>0.28546125753567203</v>
      </c>
    </row>
    <row r="32" spans="1:34" ht="15.75" customHeight="1" x14ac:dyDescent="0.25">
      <c r="Z32" s="6">
        <v>5</v>
      </c>
      <c r="AA32" s="6">
        <v>223</v>
      </c>
      <c r="AB32" s="6">
        <v>6.97</v>
      </c>
      <c r="AC32" s="6">
        <v>6.9000000000000006E-2</v>
      </c>
      <c r="AD32" s="6">
        <v>0.42699999999999999</v>
      </c>
      <c r="AE32" s="6">
        <v>0.16159250585480095</v>
      </c>
      <c r="AF32" s="6">
        <v>1800.6932000962079</v>
      </c>
      <c r="AG32" s="6">
        <v>1554.31</v>
      </c>
      <c r="AH32" s="6">
        <v>0.27416578304281319</v>
      </c>
    </row>
    <row r="33" spans="26:34" ht="15.75" customHeight="1" x14ac:dyDescent="0.25">
      <c r="Z33" s="6">
        <v>6</v>
      </c>
      <c r="AA33" s="6">
        <v>232</v>
      </c>
      <c r="AB33" s="6">
        <v>7.59</v>
      </c>
      <c r="AC33" s="6">
        <v>0.106</v>
      </c>
      <c r="AD33" s="6">
        <v>0.56699999999999995</v>
      </c>
      <c r="AE33" s="6">
        <v>0.1869488536155203</v>
      </c>
      <c r="AF33" s="6">
        <v>1876.5297294887969</v>
      </c>
      <c r="AG33" s="6">
        <v>1760.8799999999999</v>
      </c>
      <c r="AH33" s="6">
        <v>0.2633555487308169</v>
      </c>
    </row>
    <row r="34" spans="26:34" ht="15.75" customHeight="1" x14ac:dyDescent="0.25">
      <c r="Z34" s="6">
        <v>7</v>
      </c>
      <c r="AA34" s="6">
        <v>239</v>
      </c>
      <c r="AB34" s="6">
        <v>8.01</v>
      </c>
      <c r="AC34" s="6">
        <v>0.14599999999999999</v>
      </c>
      <c r="AD34" s="6">
        <v>0.70699999999999996</v>
      </c>
      <c r="AE34" s="6">
        <v>0.2065063649222065</v>
      </c>
      <c r="AF34" s="6">
        <v>1932.0739006318431</v>
      </c>
      <c r="AG34" s="6">
        <v>1914.3899999999999</v>
      </c>
      <c r="AH34" s="6">
        <v>0.25478273233336191</v>
      </c>
    </row>
    <row r="35" spans="26:34" ht="15.75" customHeight="1" x14ac:dyDescent="0.25">
      <c r="Z35" s="6">
        <v>8</v>
      </c>
      <c r="AA35" s="6">
        <v>245</v>
      </c>
      <c r="AB35" s="6">
        <v>8.5399999999999991</v>
      </c>
      <c r="AC35" s="6">
        <v>0.19</v>
      </c>
      <c r="AD35" s="6">
        <v>0.84199999999999997</v>
      </c>
      <c r="AE35" s="6">
        <v>0.22565320665083136</v>
      </c>
      <c r="AF35" s="6">
        <v>1984.4191805519072</v>
      </c>
      <c r="AG35" s="6">
        <v>2092.2999999999997</v>
      </c>
      <c r="AH35" s="6">
        <v>0.25022160183906889</v>
      </c>
    </row>
    <row r="36" spans="26:34" ht="15.75" customHeight="1" x14ac:dyDescent="0.25">
      <c r="Z36" s="6">
        <v>9</v>
      </c>
      <c r="AA36" s="6">
        <v>252</v>
      </c>
      <c r="AB36" s="6">
        <v>9.1</v>
      </c>
      <c r="AC36" s="6">
        <v>0.254</v>
      </c>
      <c r="AD36" s="6">
        <v>1.0289999999999999</v>
      </c>
      <c r="AE36" s="6">
        <v>0.24684159378036932</v>
      </c>
      <c r="AF36" s="6">
        <v>2040.3714688039222</v>
      </c>
      <c r="AG36" s="6">
        <v>2293.1999999999998</v>
      </c>
      <c r="AH36" s="6">
        <v>0.24538017639427934</v>
      </c>
    </row>
    <row r="37" spans="26:34" ht="15.75" customHeight="1" x14ac:dyDescent="0.25">
      <c r="Z37" s="6">
        <v>10</v>
      </c>
      <c r="AA37" s="6">
        <v>260</v>
      </c>
      <c r="AB37" s="6">
        <v>9.69</v>
      </c>
      <c r="AC37" s="6">
        <v>0.33900000000000002</v>
      </c>
      <c r="AD37" s="6">
        <v>1.254</v>
      </c>
      <c r="AE37" s="6">
        <v>0.27033492822966509</v>
      </c>
      <c r="AF37" s="6">
        <v>2100.3632088373201</v>
      </c>
      <c r="AG37" s="6">
        <v>2519.4</v>
      </c>
      <c r="AH37" s="6">
        <v>0.24007891792442701</v>
      </c>
    </row>
    <row r="38" spans="26:34" ht="15.75" customHeight="1" x14ac:dyDescent="0.25">
      <c r="Z38" s="6">
        <v>11</v>
      </c>
      <c r="AA38" s="6">
        <v>264</v>
      </c>
      <c r="AB38" s="6">
        <v>10.050000000000001</v>
      </c>
      <c r="AC38" s="6">
        <v>0.39800000000000002</v>
      </c>
      <c r="AD38" s="6">
        <v>1.4</v>
      </c>
      <c r="AE38" s="6">
        <v>0.28428571428571431</v>
      </c>
      <c r="AF38" s="6">
        <v>2135.1081441416168</v>
      </c>
      <c r="AG38" s="6">
        <v>2653.2000000000003</v>
      </c>
      <c r="AH38" s="6">
        <v>0.2367690815239881</v>
      </c>
    </row>
    <row r="39" spans="26:34" ht="15.75" customHeight="1" x14ac:dyDescent="0.25">
      <c r="Z39" s="6">
        <v>12</v>
      </c>
      <c r="AA39" s="6">
        <v>270</v>
      </c>
      <c r="AB39" s="6">
        <v>10.53</v>
      </c>
      <c r="AC39" s="6">
        <v>0.48799999999999999</v>
      </c>
      <c r="AD39" s="6">
        <v>1.605</v>
      </c>
      <c r="AE39" s="6">
        <v>0.30404984423676013</v>
      </c>
      <c r="AF39" s="6">
        <v>2183.3520721704945</v>
      </c>
      <c r="AG39" s="6">
        <v>2843.1</v>
      </c>
      <c r="AH39" s="6">
        <v>0.23202327576158654</v>
      </c>
    </row>
    <row r="40" spans="26:34" ht="15.75" customHeight="1" x14ac:dyDescent="0.25">
      <c r="Z40" s="6">
        <v>13</v>
      </c>
      <c r="AA40" s="6">
        <v>275</v>
      </c>
      <c r="AB40" s="6">
        <v>10.93</v>
      </c>
      <c r="AC40" s="6">
        <v>0.56999999999999995</v>
      </c>
      <c r="AD40" s="6">
        <v>1.7789999999999999</v>
      </c>
      <c r="AE40" s="6">
        <v>0.32040472175379425</v>
      </c>
      <c r="AF40" s="6">
        <v>2222.4986699394972</v>
      </c>
      <c r="AG40" s="6">
        <v>3005.75</v>
      </c>
      <c r="AH40" s="6">
        <v>0.22846586744151187</v>
      </c>
    </row>
    <row r="41" spans="26:34" ht="15.75" customHeight="1" x14ac:dyDescent="0.25">
      <c r="Z41" s="6">
        <v>14</v>
      </c>
      <c r="AA41" s="6">
        <v>280</v>
      </c>
      <c r="AB41" s="6">
        <v>11.26</v>
      </c>
      <c r="AC41" s="6">
        <v>0.61199999999999999</v>
      </c>
      <c r="AD41" s="6">
        <v>1.905</v>
      </c>
      <c r="AE41" s="6">
        <v>0.32131533063952999</v>
      </c>
      <c r="AF41" s="6">
        <v>2224.6592707670925</v>
      </c>
      <c r="AG41" s="6">
        <v>3153.8</v>
      </c>
      <c r="AH41" s="6">
        <v>0.23879014591287206</v>
      </c>
    </row>
    <row r="42" spans="26:34" ht="15.75" customHeight="1" x14ac:dyDescent="0.25">
      <c r="Z42" s="6">
        <v>15</v>
      </c>
      <c r="AA42" s="6">
        <v>287</v>
      </c>
      <c r="AB42" s="6">
        <v>11.83</v>
      </c>
      <c r="AC42" s="6">
        <v>0.65300000000000002</v>
      </c>
      <c r="AD42" s="6">
        <v>2.008</v>
      </c>
      <c r="AE42" s="6">
        <v>0.325579549914702</v>
      </c>
      <c r="AF42" s="6">
        <v>2234.7515163295639</v>
      </c>
      <c r="AG42" s="6">
        <v>3396.53</v>
      </c>
      <c r="AH42" s="6">
        <v>0.25255361644802843</v>
      </c>
    </row>
    <row r="43" spans="26:34" ht="15.75" customHeight="1" x14ac:dyDescent="0.25">
      <c r="Z43" s="6">
        <v>16</v>
      </c>
      <c r="AA43" s="6">
        <v>291</v>
      </c>
      <c r="AB43" s="6">
        <v>12.28</v>
      </c>
      <c r="AC43" s="6">
        <v>0.69</v>
      </c>
      <c r="AD43" s="6">
        <v>2.1619999999999999</v>
      </c>
      <c r="AE43" s="6">
        <v>0.32340698046749916</v>
      </c>
      <c r="AF43" s="6">
        <v>2229.6148464616108</v>
      </c>
      <c r="AG43" s="6">
        <v>3575.49</v>
      </c>
      <c r="AH43" s="6">
        <v>0.26831888918227148</v>
      </c>
    </row>
  </sheetData>
  <mergeCells count="2">
    <mergeCell ref="F1:I1"/>
    <mergeCell ref="J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Тимофеев Вячеслав Александрович</cp:lastModifiedBy>
  <dcterms:modified xsi:type="dcterms:W3CDTF">2026-01-25T23:45:25Z</dcterms:modified>
</cp:coreProperties>
</file>