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0c1a64254f630e83/Рабочий стол/"/>
    </mc:Choice>
  </mc:AlternateContent>
  <xr:revisionPtr revIDLastSave="10" documentId="11_FD369AC4D6B5805121DA61D6FD2077A9ADCC1FA3" xr6:coauthVersionLast="47" xr6:coauthVersionMax="47" xr10:uidLastSave="{92379C2B-A138-49EB-B450-2521096B27C9}"/>
  <bookViews>
    <workbookView xWindow="-108" yWindow="-108" windowWidth="23256" windowHeight="12456" xr2:uid="{00000000-000D-0000-FFFF-FFFF00000000}"/>
  </bookViews>
  <sheets>
    <sheet name="Лист1" sheetId="1" r:id="rId1"/>
    <sheet name="Лист3" sheetId="2" r:id="rId2"/>
    <sheet name="Лист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1" i="1" l="1"/>
  <c r="U40" i="1"/>
  <c r="U39" i="1"/>
  <c r="U38" i="1"/>
  <c r="U37" i="1"/>
  <c r="U36" i="1"/>
  <c r="U35" i="1"/>
  <c r="T35" i="1"/>
  <c r="U34" i="1"/>
  <c r="T34" i="1"/>
  <c r="U33" i="1"/>
  <c r="T33" i="1"/>
  <c r="U32" i="1"/>
  <c r="T32" i="1"/>
  <c r="U31" i="1"/>
  <c r="T31" i="1"/>
  <c r="J29" i="1"/>
  <c r="J28" i="1"/>
  <c r="J27" i="1"/>
  <c r="J26" i="1"/>
  <c r="J25" i="1"/>
  <c r="J24" i="1"/>
  <c r="J23" i="1"/>
  <c r="D23" i="1"/>
  <c r="J22" i="1"/>
  <c r="D22" i="1"/>
  <c r="J21" i="1"/>
  <c r="D21" i="1"/>
  <c r="J20" i="1"/>
  <c r="D20" i="1"/>
  <c r="J19" i="1"/>
  <c r="D19" i="1"/>
  <c r="J18" i="1"/>
  <c r="D18" i="1"/>
  <c r="A18" i="1"/>
  <c r="A23" i="1" s="1"/>
  <c r="J17" i="1"/>
  <c r="D17" i="1"/>
  <c r="J16" i="1"/>
  <c r="D16" i="1"/>
  <c r="A16" i="1"/>
  <c r="J15" i="1"/>
  <c r="D15" i="1"/>
  <c r="J14" i="1"/>
  <c r="D14" i="1"/>
  <c r="J13" i="1"/>
  <c r="D13" i="1"/>
  <c r="D25" i="1" s="1"/>
  <c r="A13" i="1"/>
  <c r="A14" i="1" s="1"/>
  <c r="J12" i="1"/>
  <c r="D12" i="1"/>
  <c r="J11" i="1"/>
  <c r="D11" i="1"/>
  <c r="A11" i="1"/>
  <c r="J10" i="1"/>
  <c r="D10" i="1"/>
  <c r="J9" i="1"/>
  <c r="D9" i="1"/>
  <c r="A9" i="1"/>
  <c r="P8" i="1"/>
  <c r="N12" i="1" s="1"/>
  <c r="N19" i="1" s="1"/>
  <c r="N8" i="1"/>
  <c r="P12" i="1" s="1"/>
  <c r="J8" i="1"/>
  <c r="D8" i="1"/>
  <c r="J7" i="1"/>
  <c r="D7" i="1"/>
  <c r="J6" i="1"/>
  <c r="D6" i="1"/>
  <c r="P5" i="1"/>
  <c r="P3" i="1" s="1"/>
  <c r="N5" i="1"/>
  <c r="N3" i="1" s="1"/>
  <c r="Q3" i="1" s="1"/>
  <c r="J5" i="1"/>
  <c r="D5" i="1"/>
  <c r="J4" i="1"/>
  <c r="D4" i="1"/>
  <c r="J3" i="1"/>
  <c r="D3" i="1"/>
  <c r="A2" i="1"/>
  <c r="A26" i="1" s="1"/>
  <c r="Q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00000000-0006-0000-0000-000003000000}">
      <text>
        <r>
          <rPr>
            <sz val="10"/>
            <color rgb="FF000000"/>
            <rFont val="Arial"/>
            <scheme val="minor"/>
          </rPr>
          <t>тут шаг в 20 Гц это похерит график
	-Рома Карелин</t>
        </r>
      </text>
    </comment>
    <comment ref="A10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
добротный интервал</t>
        </r>
      </text>
    </comment>
    <comment ref="F15" authorId="0" shapeId="0" xr:uid="{00000000-0006-0000-0000-000002000000}">
      <text>
        <r>
          <rPr>
            <sz val="10"/>
            <color rgb="FF000000"/>
            <rFont val="Arial"/>
            <scheme val="minor"/>
          </rPr>
          <t>стр. 12</t>
        </r>
      </text>
    </comment>
  </commentList>
</comments>
</file>

<file path=xl/sharedStrings.xml><?xml version="1.0" encoding="utf-8"?>
<sst xmlns="http://schemas.openxmlformats.org/spreadsheetml/2006/main" count="41" uniqueCount="32">
  <si>
    <t>L12</t>
  </si>
  <si>
    <t>Таблица 1</t>
  </si>
  <si>
    <t>Таблица 2</t>
  </si>
  <si>
    <t>№</t>
  </si>
  <si>
    <t>v, Гц</t>
  </si>
  <si>
    <t>w, рад/c</t>
  </si>
  <si>
    <t>U, B</t>
  </si>
  <si>
    <t>Q1</t>
  </si>
  <si>
    <t>Q2</t>
  </si>
  <si>
    <t>Q1/Q2</t>
  </si>
  <si>
    <t>wr1</t>
  </si>
  <si>
    <t>dW1</t>
  </si>
  <si>
    <t>dW2</t>
  </si>
  <si>
    <t>dW1/dW2</t>
  </si>
  <si>
    <t>wr2</t>
  </si>
  <si>
    <t>w_0.1</t>
  </si>
  <si>
    <t>w_0.2</t>
  </si>
  <si>
    <t>w0</t>
  </si>
  <si>
    <t>K</t>
  </si>
  <si>
    <t>w_0.1/w_0.2</t>
  </si>
  <si>
    <t>Vmax-Vmin</t>
  </si>
  <si>
    <t>0.7</t>
  </si>
  <si>
    <t>f1</t>
  </si>
  <si>
    <t>первый резонанс</t>
  </si>
  <si>
    <t>f2</t>
  </si>
  <si>
    <t>резонанс</t>
  </si>
  <si>
    <t>k</t>
  </si>
  <si>
    <t>L1</t>
  </si>
  <si>
    <t>L2</t>
  </si>
  <si>
    <t>L12эксп</t>
  </si>
  <si>
    <t>второй резонанс</t>
  </si>
  <si>
    <t>U(v)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</si>
</sst>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rgb="FFFF0000"/>
      <name val="Arial"/>
      <scheme val="minor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4" xfId="0" applyFont="1" applyBorder="1"/>
    <xf numFmtId="0" fontId="1" fillId="0" borderId="4" xfId="0" applyFont="1" applyBorder="1"/>
    <xf numFmtId="0" fontId="4" fillId="0" borderId="0" xfId="0" applyFont="1"/>
    <xf numFmtId="0" fontId="1" fillId="2" borderId="0" xfId="0" applyFont="1" applyFill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U, B </a:t>
            </a:r>
            <a:r>
              <a:rPr lang="ru-RU"/>
              <a:t>относительно параметра "</a:t>
            </a:r>
            <a:r>
              <a:rPr lang="en-US"/>
              <a:t>v, </a:t>
            </a:r>
            <a:r>
              <a:rPr lang="ru-RU"/>
              <a:t>Гц"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Лист1!$E$1:$E$3</c:f>
              <c:strCache>
                <c:ptCount val="3"/>
                <c:pt idx="1">
                  <c:v>U, B</c:v>
                </c:pt>
                <c:pt idx="2">
                  <c:v>0,1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14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5A9-4342-8010-633B41204AC9}"/>
              </c:ext>
            </c:extLst>
          </c:dPt>
          <c:dPt>
            <c:idx val="25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5A9-4342-8010-633B41204AC9}"/>
              </c:ext>
            </c:extLst>
          </c:dPt>
          <c:dLbls>
            <c:dLbl>
              <c:idx val="14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5A9-4342-8010-633B41204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Лист1!$C$4:$C$23</c:f>
              <c:numCache>
                <c:formatCode>General</c:formatCode>
                <c:ptCount val="20"/>
                <c:pt idx="0">
                  <c:v>488</c:v>
                </c:pt>
                <c:pt idx="1">
                  <c:v>698</c:v>
                </c:pt>
                <c:pt idx="2">
                  <c:v>1014</c:v>
                </c:pt>
                <c:pt idx="3">
                  <c:v>1193</c:v>
                </c:pt>
                <c:pt idx="4">
                  <c:v>1217</c:v>
                </c:pt>
                <c:pt idx="5">
                  <c:v>1414</c:v>
                </c:pt>
                <c:pt idx="6">
                  <c:v>1651</c:v>
                </c:pt>
                <c:pt idx="7">
                  <c:v>2057</c:v>
                </c:pt>
                <c:pt idx="8">
                  <c:v>2613</c:v>
                </c:pt>
                <c:pt idx="9">
                  <c:v>2907</c:v>
                </c:pt>
                <c:pt idx="10">
                  <c:v>3298</c:v>
                </c:pt>
                <c:pt idx="11">
                  <c:v>3770</c:v>
                </c:pt>
                <c:pt idx="12">
                  <c:v>4467</c:v>
                </c:pt>
                <c:pt idx="13">
                  <c:v>4824</c:v>
                </c:pt>
                <c:pt idx="14">
                  <c:v>5382</c:v>
                </c:pt>
                <c:pt idx="15">
                  <c:v>5611</c:v>
                </c:pt>
                <c:pt idx="16">
                  <c:v>5957</c:v>
                </c:pt>
                <c:pt idx="17">
                  <c:v>6713</c:v>
                </c:pt>
                <c:pt idx="18">
                  <c:v>7410</c:v>
                </c:pt>
                <c:pt idx="19">
                  <c:v>8612</c:v>
                </c:pt>
              </c:numCache>
            </c:numRef>
          </c:cat>
          <c:val>
            <c:numRef>
              <c:f>Лист1!$E$4:$E$23</c:f>
              <c:numCache>
                <c:formatCode>General</c:formatCode>
                <c:ptCount val="20"/>
                <c:pt idx="0">
                  <c:v>0.36</c:v>
                </c:pt>
                <c:pt idx="1">
                  <c:v>0.55000000000000004</c:v>
                </c:pt>
                <c:pt idx="2">
                  <c:v>0.9</c:v>
                </c:pt>
                <c:pt idx="3">
                  <c:v>1.06</c:v>
                </c:pt>
                <c:pt idx="4">
                  <c:v>1.1599999999999999</c:v>
                </c:pt>
                <c:pt idx="5">
                  <c:v>1.34</c:v>
                </c:pt>
                <c:pt idx="6">
                  <c:v>1.65</c:v>
                </c:pt>
                <c:pt idx="7">
                  <c:v>2.17</c:v>
                </c:pt>
                <c:pt idx="8">
                  <c:v>2.83</c:v>
                </c:pt>
                <c:pt idx="9">
                  <c:v>3.54</c:v>
                </c:pt>
                <c:pt idx="10">
                  <c:v>4.03</c:v>
                </c:pt>
                <c:pt idx="11">
                  <c:v>4.34</c:v>
                </c:pt>
                <c:pt idx="12">
                  <c:v>4.8</c:v>
                </c:pt>
                <c:pt idx="13">
                  <c:v>5.38</c:v>
                </c:pt>
                <c:pt idx="14">
                  <c:v>5.59</c:v>
                </c:pt>
                <c:pt idx="15">
                  <c:v>5.36</c:v>
                </c:pt>
                <c:pt idx="16">
                  <c:v>4.87</c:v>
                </c:pt>
                <c:pt idx="17">
                  <c:v>4.6399999999999997</c:v>
                </c:pt>
                <c:pt idx="18">
                  <c:v>4.2300000000000004</c:v>
                </c:pt>
                <c:pt idx="19">
                  <c:v>3.89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5A9-4342-8010-633B41204A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6856005"/>
        <c:axId val="719195600"/>
      </c:lineChart>
      <c:catAx>
        <c:axId val="180685600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v, </a:t>
                </a:r>
                <a:r>
                  <a:rPr lang="ru-RU"/>
                  <a:t>Гц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9195600"/>
        <c:crosses val="autoZero"/>
        <c:auto val="1"/>
        <c:lblAlgn val="ctr"/>
        <c:lblOffset val="100"/>
        <c:noMultiLvlLbl val="1"/>
      </c:catAx>
      <c:valAx>
        <c:axId val="719195600"/>
        <c:scaling>
          <c:orientation val="minMax"/>
          <c:max val="7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 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18068560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U, B </a:t>
            </a:r>
            <a:r>
              <a:rPr lang="ru-RU"/>
              <a:t>относительно параметра "</a:t>
            </a:r>
            <a:r>
              <a:rPr lang="en-US"/>
              <a:t>v, </a:t>
            </a:r>
            <a:r>
              <a:rPr lang="ru-RU"/>
              <a:t>Гц"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13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C21-44B6-B6F7-7EBD4CFA00EF}"/>
              </c:ext>
            </c:extLst>
          </c:dPt>
          <c:dPt>
            <c:idx val="22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C21-44B6-B6F7-7EBD4CFA00EF}"/>
              </c:ext>
            </c:extLst>
          </c:dPt>
          <c:dPt>
            <c:idx val="25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C21-44B6-B6F7-7EBD4CFA00EF}"/>
              </c:ext>
            </c:extLst>
          </c:dPt>
          <c:dLbls>
            <c:dLbl>
              <c:idx val="13"/>
              <c:spPr>
                <a:solidFill>
                  <a:srgbClr val="C0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C21-44B6-B6F7-7EBD4CFA00EF}"/>
                </c:ext>
              </c:extLst>
            </c:dLbl>
            <c:dLbl>
              <c:idx val="22"/>
              <c:spPr>
                <a:solidFill>
                  <a:srgbClr val="C0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21-44B6-B6F7-7EBD4CFA00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Лист1!$I$3:$I$29</c:f>
              <c:numCache>
                <c:formatCode>General</c:formatCode>
                <c:ptCount val="27"/>
                <c:pt idx="0">
                  <c:v>118</c:v>
                </c:pt>
                <c:pt idx="1">
                  <c:v>268</c:v>
                </c:pt>
                <c:pt idx="2">
                  <c:v>459</c:v>
                </c:pt>
                <c:pt idx="3">
                  <c:v>784</c:v>
                </c:pt>
                <c:pt idx="4">
                  <c:v>1005</c:v>
                </c:pt>
                <c:pt idx="5">
                  <c:v>1147</c:v>
                </c:pt>
                <c:pt idx="6">
                  <c:v>1260</c:v>
                </c:pt>
                <c:pt idx="7">
                  <c:v>1344</c:v>
                </c:pt>
                <c:pt idx="8">
                  <c:v>1573</c:v>
                </c:pt>
                <c:pt idx="9">
                  <c:v>1871</c:v>
                </c:pt>
                <c:pt idx="10">
                  <c:v>2042</c:v>
                </c:pt>
                <c:pt idx="11">
                  <c:v>2813</c:v>
                </c:pt>
                <c:pt idx="12">
                  <c:v>3754</c:v>
                </c:pt>
                <c:pt idx="13">
                  <c:v>4155</c:v>
                </c:pt>
                <c:pt idx="14">
                  <c:v>4627</c:v>
                </c:pt>
                <c:pt idx="15">
                  <c:v>4980</c:v>
                </c:pt>
                <c:pt idx="16">
                  <c:v>5248</c:v>
                </c:pt>
                <c:pt idx="17">
                  <c:v>5965</c:v>
                </c:pt>
                <c:pt idx="18">
                  <c:v>6660</c:v>
                </c:pt>
                <c:pt idx="19">
                  <c:v>7238</c:v>
                </c:pt>
                <c:pt idx="20">
                  <c:v>7897</c:v>
                </c:pt>
                <c:pt idx="21">
                  <c:v>8230</c:v>
                </c:pt>
                <c:pt idx="22">
                  <c:v>8555</c:v>
                </c:pt>
                <c:pt idx="23">
                  <c:v>8991</c:v>
                </c:pt>
                <c:pt idx="24">
                  <c:v>9415</c:v>
                </c:pt>
                <c:pt idx="25">
                  <c:v>11080</c:v>
                </c:pt>
                <c:pt idx="26">
                  <c:v>11570</c:v>
                </c:pt>
              </c:numCache>
            </c:numRef>
          </c:cat>
          <c:val>
            <c:numRef>
              <c:f>Лист1!$K$3:$K$29</c:f>
              <c:numCache>
                <c:formatCode>General</c:formatCode>
                <c:ptCount val="27"/>
                <c:pt idx="0">
                  <c:v>0.57999999999999996</c:v>
                </c:pt>
                <c:pt idx="1">
                  <c:v>0.75</c:v>
                </c:pt>
                <c:pt idx="2">
                  <c:v>1</c:v>
                </c:pt>
                <c:pt idx="3">
                  <c:v>1.4</c:v>
                </c:pt>
                <c:pt idx="4">
                  <c:v>1.78</c:v>
                </c:pt>
                <c:pt idx="5">
                  <c:v>2</c:v>
                </c:pt>
                <c:pt idx="6">
                  <c:v>2.27</c:v>
                </c:pt>
                <c:pt idx="7">
                  <c:v>2.41</c:v>
                </c:pt>
                <c:pt idx="8">
                  <c:v>2.73</c:v>
                </c:pt>
                <c:pt idx="9">
                  <c:v>3.18</c:v>
                </c:pt>
                <c:pt idx="10">
                  <c:v>3.38</c:v>
                </c:pt>
                <c:pt idx="11">
                  <c:v>4.17</c:v>
                </c:pt>
                <c:pt idx="12">
                  <c:v>4.6100000000000003</c:v>
                </c:pt>
                <c:pt idx="13">
                  <c:v>4.68</c:v>
                </c:pt>
                <c:pt idx="14">
                  <c:v>4.57</c:v>
                </c:pt>
                <c:pt idx="15">
                  <c:v>4.4000000000000004</c:v>
                </c:pt>
                <c:pt idx="16">
                  <c:v>4.18</c:v>
                </c:pt>
                <c:pt idx="17">
                  <c:v>3.25</c:v>
                </c:pt>
                <c:pt idx="18">
                  <c:v>2.5099999999999998</c:v>
                </c:pt>
                <c:pt idx="19">
                  <c:v>3</c:v>
                </c:pt>
                <c:pt idx="20">
                  <c:v>3.93</c:v>
                </c:pt>
                <c:pt idx="21">
                  <c:v>4.0999999999999996</c:v>
                </c:pt>
                <c:pt idx="22">
                  <c:v>4.1500000000000004</c:v>
                </c:pt>
                <c:pt idx="23">
                  <c:v>4.13</c:v>
                </c:pt>
                <c:pt idx="24">
                  <c:v>4.07</c:v>
                </c:pt>
                <c:pt idx="25">
                  <c:v>3.7</c:v>
                </c:pt>
                <c:pt idx="26">
                  <c:v>3.27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C21-44B6-B6F7-7EBD4CFA00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8137803"/>
        <c:axId val="2096451108"/>
      </c:lineChart>
      <c:catAx>
        <c:axId val="17981378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v, </a:t>
                </a:r>
                <a:r>
                  <a:rPr lang="ru-RU"/>
                  <a:t>Гц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6451108"/>
        <c:crosses val="autoZero"/>
        <c:auto val="1"/>
        <c:lblAlgn val="ctr"/>
        <c:lblOffset val="100"/>
        <c:noMultiLvlLbl val="1"/>
      </c:catAx>
      <c:valAx>
        <c:axId val="2096451108"/>
        <c:scaling>
          <c:orientation val="minMax"/>
          <c:max val="6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 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1798137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142875</xdr:rowOff>
    </xdr:from>
    <xdr:ext cx="10239375" cy="6324600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66</xdr:row>
      <xdr:rowOff>66675</xdr:rowOff>
    </xdr:from>
    <xdr:ext cx="10315575" cy="6381750"/>
    <xdr:graphicFrame macro="">
      <xdr:nvGraphicFramePr>
        <xdr:cNvPr id="3" name="Chart 2" title="Диаграмм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1"/>
  <sheetViews>
    <sheetView tabSelected="1" topLeftCell="F17" zoomScale="57" zoomScaleNormal="70" workbookViewId="0">
      <selection activeCell="Q39" sqref="Q39"/>
    </sheetView>
  </sheetViews>
  <sheetFormatPr defaultColWidth="12.6640625" defaultRowHeight="15.75" customHeight="1" x14ac:dyDescent="0.25"/>
  <sheetData>
    <row r="1" spans="1:17" x14ac:dyDescent="0.25">
      <c r="A1" s="1" t="s">
        <v>0</v>
      </c>
      <c r="B1" s="7" t="s">
        <v>1</v>
      </c>
      <c r="C1" s="8"/>
      <c r="D1" s="8"/>
      <c r="E1" s="9"/>
      <c r="H1" s="7" t="s">
        <v>2</v>
      </c>
      <c r="I1" s="8"/>
      <c r="J1" s="8"/>
      <c r="K1" s="9"/>
    </row>
    <row r="2" spans="1:17" x14ac:dyDescent="0.25">
      <c r="A2" s="1">
        <f>11.7</f>
        <v>11.7</v>
      </c>
      <c r="B2" s="2" t="s">
        <v>3</v>
      </c>
      <c r="C2" s="2" t="s">
        <v>4</v>
      </c>
      <c r="D2" s="2" t="s">
        <v>5</v>
      </c>
      <c r="E2" s="2" t="s">
        <v>6</v>
      </c>
      <c r="H2" s="2" t="s">
        <v>3</v>
      </c>
      <c r="I2" s="2" t="s">
        <v>4</v>
      </c>
      <c r="J2" s="2" t="s">
        <v>5</v>
      </c>
      <c r="K2" s="2" t="s">
        <v>6</v>
      </c>
      <c r="N2" s="1" t="s">
        <v>7</v>
      </c>
      <c r="P2" s="1" t="s">
        <v>8</v>
      </c>
      <c r="Q2" s="1" t="s">
        <v>9</v>
      </c>
    </row>
    <row r="3" spans="1:17" x14ac:dyDescent="0.25">
      <c r="A3" s="1" t="s">
        <v>10</v>
      </c>
      <c r="B3" s="3">
        <v>1</v>
      </c>
      <c r="C3" s="3">
        <v>118</v>
      </c>
      <c r="D3" s="3">
        <f t="shared" ref="D3:D23" si="0">C3*2*PI()</f>
        <v>741.41586624719116</v>
      </c>
      <c r="E3" s="3">
        <v>0.1</v>
      </c>
      <c r="H3" s="3">
        <v>1</v>
      </c>
      <c r="I3" s="3">
        <v>118</v>
      </c>
      <c r="J3" s="3">
        <f t="shared" ref="J3:J29" si="1">I3*2*PI()</f>
        <v>741.41586624719116</v>
      </c>
      <c r="K3" s="3">
        <v>0.57999999999999996</v>
      </c>
      <c r="N3" s="1">
        <f>N8/N5</f>
        <v>1.0591384144787153</v>
      </c>
      <c r="P3" s="1">
        <f>P8/P5</f>
        <v>1.9748384118190212</v>
      </c>
      <c r="Q3" s="1">
        <f>N3/P3</f>
        <v>0.53631649462557507</v>
      </c>
    </row>
    <row r="4" spans="1:17" x14ac:dyDescent="0.25">
      <c r="A4" s="1">
        <v>8873.5650000000005</v>
      </c>
      <c r="B4" s="3">
        <v>2</v>
      </c>
      <c r="C4" s="3">
        <v>488</v>
      </c>
      <c r="D4" s="3">
        <f t="shared" si="0"/>
        <v>3066.1944299036381</v>
      </c>
      <c r="E4" s="3">
        <v>0.36</v>
      </c>
      <c r="H4" s="3">
        <v>2</v>
      </c>
      <c r="I4" s="3">
        <v>268</v>
      </c>
      <c r="J4" s="3">
        <f t="shared" si="1"/>
        <v>1683.8936623241291</v>
      </c>
      <c r="K4" s="3">
        <v>0.75</v>
      </c>
      <c r="N4" s="1" t="s">
        <v>11</v>
      </c>
      <c r="P4" s="1" t="s">
        <v>12</v>
      </c>
      <c r="Q4" s="1" t="s">
        <v>13</v>
      </c>
    </row>
    <row r="5" spans="1:17" x14ac:dyDescent="0.25">
      <c r="B5" s="3">
        <v>3</v>
      </c>
      <c r="C5" s="3">
        <v>698</v>
      </c>
      <c r="D5" s="3">
        <f t="shared" si="0"/>
        <v>4385.6633444113513</v>
      </c>
      <c r="E5" s="3">
        <v>0.55000000000000004</v>
      </c>
      <c r="H5" s="3">
        <v>3</v>
      </c>
      <c r="I5" s="3">
        <v>459</v>
      </c>
      <c r="J5" s="3">
        <f t="shared" si="1"/>
        <v>2883.9820559954301</v>
      </c>
      <c r="K5" s="3">
        <v>1</v>
      </c>
      <c r="N5" s="4">
        <f>I20-I13</f>
        <v>3923</v>
      </c>
      <c r="O5" s="4"/>
      <c r="P5" s="4">
        <f>I29-I22</f>
        <v>4332</v>
      </c>
      <c r="Q5" s="1">
        <f>N5/P5</f>
        <v>0.90558633425669433</v>
      </c>
    </row>
    <row r="6" spans="1:17" x14ac:dyDescent="0.25">
      <c r="A6" s="1" t="s">
        <v>14</v>
      </c>
      <c r="B6" s="3">
        <v>4</v>
      </c>
      <c r="C6" s="3">
        <v>1014</v>
      </c>
      <c r="D6" s="3">
        <f t="shared" si="0"/>
        <v>6371.1499014801002</v>
      </c>
      <c r="E6" s="3">
        <v>0.9</v>
      </c>
      <c r="H6" s="3">
        <v>4</v>
      </c>
      <c r="I6" s="3">
        <v>784</v>
      </c>
      <c r="J6" s="3">
        <f t="shared" si="1"/>
        <v>4926.0172808287953</v>
      </c>
      <c r="K6" s="3">
        <v>1.4</v>
      </c>
    </row>
    <row r="7" spans="1:17" x14ac:dyDescent="0.25">
      <c r="A7" s="1">
        <v>9667.3649999999998</v>
      </c>
      <c r="B7" s="3">
        <v>5</v>
      </c>
      <c r="C7" s="3">
        <v>1193</v>
      </c>
      <c r="D7" s="3">
        <f t="shared" si="0"/>
        <v>7495.8400714652462</v>
      </c>
      <c r="E7" s="3">
        <v>1.06</v>
      </c>
      <c r="H7" s="3">
        <v>5</v>
      </c>
      <c r="I7" s="3">
        <v>1005</v>
      </c>
      <c r="J7" s="3">
        <f t="shared" si="1"/>
        <v>6314.6012337154843</v>
      </c>
      <c r="K7" s="3">
        <v>1.78</v>
      </c>
      <c r="N7" s="1" t="s">
        <v>15</v>
      </c>
      <c r="P7" s="1" t="s">
        <v>16</v>
      </c>
    </row>
    <row r="8" spans="1:17" x14ac:dyDescent="0.25">
      <c r="A8" s="1" t="s">
        <v>17</v>
      </c>
      <c r="B8" s="3">
        <v>6</v>
      </c>
      <c r="C8" s="3">
        <v>1217</v>
      </c>
      <c r="D8" s="3">
        <f t="shared" si="0"/>
        <v>7646.6365188375567</v>
      </c>
      <c r="E8" s="3">
        <v>1.1599999999999999</v>
      </c>
      <c r="H8" s="3">
        <v>6</v>
      </c>
      <c r="I8" s="3">
        <v>1147</v>
      </c>
      <c r="J8" s="3">
        <f t="shared" si="1"/>
        <v>7206.8135473349857</v>
      </c>
      <c r="K8" s="3">
        <v>2</v>
      </c>
      <c r="N8" s="1">
        <f>I16</f>
        <v>4155</v>
      </c>
      <c r="P8" s="1">
        <f>I25</f>
        <v>8555</v>
      </c>
    </row>
    <row r="9" spans="1:17" x14ac:dyDescent="0.25">
      <c r="A9" s="1">
        <f>D18</f>
        <v>33816.103323240532</v>
      </c>
      <c r="B9" s="3">
        <v>7</v>
      </c>
      <c r="C9" s="3">
        <v>1414</v>
      </c>
      <c r="D9" s="3">
        <f t="shared" si="0"/>
        <v>8884.4240243519343</v>
      </c>
      <c r="E9" s="3">
        <v>1.34</v>
      </c>
      <c r="H9" s="3">
        <v>7</v>
      </c>
      <c r="I9" s="3">
        <v>1260</v>
      </c>
      <c r="J9" s="3">
        <f t="shared" si="1"/>
        <v>7916.8134870462791</v>
      </c>
      <c r="K9" s="3">
        <v>2.27</v>
      </c>
    </row>
    <row r="10" spans="1:17" x14ac:dyDescent="0.25">
      <c r="A10" s="1" t="s">
        <v>7</v>
      </c>
      <c r="B10" s="3">
        <v>8</v>
      </c>
      <c r="C10" s="3">
        <v>1651</v>
      </c>
      <c r="D10" s="3">
        <f t="shared" si="0"/>
        <v>10373.538942153496</v>
      </c>
      <c r="E10" s="3">
        <v>1.65</v>
      </c>
      <c r="H10" s="3">
        <v>8</v>
      </c>
      <c r="I10" s="3">
        <v>1344</v>
      </c>
      <c r="J10" s="3">
        <f t="shared" si="1"/>
        <v>8444.6010528493644</v>
      </c>
      <c r="K10" s="3">
        <v>2.41</v>
      </c>
    </row>
    <row r="11" spans="1:17" x14ac:dyDescent="0.25">
      <c r="A11" s="1">
        <f>A9/(A13)</f>
        <v>5.9274501881227923</v>
      </c>
      <c r="B11" s="3">
        <v>9</v>
      </c>
      <c r="C11" s="3">
        <v>2057</v>
      </c>
      <c r="D11" s="3">
        <f t="shared" si="0"/>
        <v>12924.512176868409</v>
      </c>
      <c r="E11" s="3">
        <v>2.17</v>
      </c>
      <c r="H11" s="3">
        <v>9</v>
      </c>
      <c r="I11" s="3">
        <v>1573</v>
      </c>
      <c r="J11" s="3">
        <f t="shared" si="1"/>
        <v>9883.4504881934899</v>
      </c>
      <c r="K11" s="3">
        <v>2.73</v>
      </c>
      <c r="N11" s="1" t="s">
        <v>18</v>
      </c>
      <c r="P11" s="1" t="s">
        <v>19</v>
      </c>
    </row>
    <row r="12" spans="1:17" x14ac:dyDescent="0.25">
      <c r="A12" s="1" t="s">
        <v>20</v>
      </c>
      <c r="B12" s="3">
        <v>10</v>
      </c>
      <c r="C12" s="3">
        <v>2613</v>
      </c>
      <c r="D12" s="3">
        <f t="shared" si="0"/>
        <v>16417.963207660257</v>
      </c>
      <c r="E12" s="3">
        <v>2.83</v>
      </c>
      <c r="H12" s="3">
        <v>10</v>
      </c>
      <c r="I12" s="3">
        <v>1871</v>
      </c>
      <c r="J12" s="3">
        <f t="shared" si="1"/>
        <v>11755.839709733005</v>
      </c>
      <c r="K12" s="3">
        <v>3.18</v>
      </c>
      <c r="N12" s="1">
        <f>(P8*P8 - N8*N8)/(P8*P8 + N8*N8)</f>
        <v>0.61827233324175623</v>
      </c>
      <c r="P12" s="1">
        <f>N8/P8</f>
        <v>0.48568088836937462</v>
      </c>
    </row>
    <row r="13" spans="1:17" x14ac:dyDescent="0.25">
      <c r="A13" s="1">
        <f>C23-C13</f>
        <v>5705</v>
      </c>
      <c r="B13" s="3">
        <v>11</v>
      </c>
      <c r="C13" s="3">
        <v>2907</v>
      </c>
      <c r="D13" s="3">
        <f t="shared" si="0"/>
        <v>18265.219687971057</v>
      </c>
      <c r="E13" s="3">
        <v>3.54</v>
      </c>
      <c r="F13" s="1">
        <v>0.7</v>
      </c>
      <c r="H13" s="3">
        <v>11</v>
      </c>
      <c r="I13" s="3">
        <v>2042</v>
      </c>
      <c r="J13" s="3">
        <f t="shared" si="1"/>
        <v>12830.264397260715</v>
      </c>
      <c r="K13" s="3">
        <v>3.38</v>
      </c>
      <c r="L13" s="1" t="s">
        <v>21</v>
      </c>
    </row>
    <row r="14" spans="1:17" x14ac:dyDescent="0.25">
      <c r="A14" s="1">
        <f>A13</f>
        <v>5705</v>
      </c>
      <c r="B14" s="3">
        <v>12</v>
      </c>
      <c r="C14" s="3">
        <v>3298</v>
      </c>
      <c r="D14" s="3">
        <f t="shared" si="0"/>
        <v>20721.945143078276</v>
      </c>
      <c r="E14" s="3">
        <v>4.03</v>
      </c>
      <c r="H14" s="3">
        <v>12</v>
      </c>
      <c r="I14" s="3">
        <v>2813</v>
      </c>
      <c r="J14" s="3">
        <f t="shared" si="1"/>
        <v>17674.600269096176</v>
      </c>
      <c r="K14" s="3">
        <v>4.17</v>
      </c>
    </row>
    <row r="15" spans="1:17" x14ac:dyDescent="0.25">
      <c r="A15" s="1" t="s">
        <v>22</v>
      </c>
      <c r="B15" s="3">
        <v>13</v>
      </c>
      <c r="C15" s="3">
        <v>3770</v>
      </c>
      <c r="D15" s="3">
        <f t="shared" si="0"/>
        <v>23687.608608067039</v>
      </c>
      <c r="E15" s="3">
        <v>4.34</v>
      </c>
      <c r="F15" s="1"/>
      <c r="H15" s="3">
        <v>13</v>
      </c>
      <c r="I15" s="3">
        <v>3754</v>
      </c>
      <c r="J15" s="3">
        <f t="shared" si="1"/>
        <v>23587.077643152166</v>
      </c>
      <c r="K15" s="3">
        <v>4.6100000000000003</v>
      </c>
    </row>
    <row r="16" spans="1:17" x14ac:dyDescent="0.25">
      <c r="A16" s="1">
        <f>A4/(2*PI())</f>
        <v>1412.2717325972344</v>
      </c>
      <c r="B16" s="3">
        <v>14</v>
      </c>
      <c r="C16" s="3">
        <v>4467</v>
      </c>
      <c r="D16" s="3">
        <f t="shared" si="0"/>
        <v>28066.988767171213</v>
      </c>
      <c r="E16" s="3">
        <v>4.8</v>
      </c>
      <c r="H16" s="3">
        <v>14</v>
      </c>
      <c r="I16" s="1">
        <v>4155</v>
      </c>
      <c r="J16" s="3">
        <f t="shared" si="1"/>
        <v>26106.63495133118</v>
      </c>
      <c r="K16" s="3">
        <v>4.68</v>
      </c>
      <c r="L16" s="1" t="s">
        <v>23</v>
      </c>
    </row>
    <row r="17" spans="1:21" x14ac:dyDescent="0.25">
      <c r="A17" s="1" t="s">
        <v>24</v>
      </c>
      <c r="B17" s="3">
        <v>15</v>
      </c>
      <c r="C17" s="3">
        <v>4824</v>
      </c>
      <c r="D17" s="3">
        <f t="shared" si="0"/>
        <v>30310.085921834325</v>
      </c>
      <c r="E17" s="3">
        <v>5.38</v>
      </c>
      <c r="H17" s="3">
        <v>15</v>
      </c>
      <c r="I17" s="3">
        <v>4627</v>
      </c>
      <c r="J17" s="3">
        <f t="shared" si="1"/>
        <v>29072.298416319947</v>
      </c>
      <c r="K17" s="3">
        <v>4.57</v>
      </c>
    </row>
    <row r="18" spans="1:21" x14ac:dyDescent="0.25">
      <c r="A18" s="1">
        <f>A7/(2*PI())</f>
        <v>1538.6089264235807</v>
      </c>
      <c r="B18" s="3">
        <v>16</v>
      </c>
      <c r="C18" s="3">
        <v>5382</v>
      </c>
      <c r="D18" s="3">
        <f t="shared" si="0"/>
        <v>33816.103323240532</v>
      </c>
      <c r="E18" s="3">
        <v>5.59</v>
      </c>
      <c r="F18" s="1" t="s">
        <v>25</v>
      </c>
      <c r="H18" s="3">
        <v>16</v>
      </c>
      <c r="I18" s="3">
        <v>4980</v>
      </c>
      <c r="J18" s="3">
        <f t="shared" si="1"/>
        <v>31290.262829754338</v>
      </c>
      <c r="K18" s="3">
        <v>4.4000000000000004</v>
      </c>
      <c r="N18" s="1" t="s">
        <v>0</v>
      </c>
    </row>
    <row r="19" spans="1:21" x14ac:dyDescent="0.25">
      <c r="B19" s="3">
        <v>17</v>
      </c>
      <c r="C19" s="3">
        <v>5611</v>
      </c>
      <c r="D19" s="3">
        <f t="shared" si="0"/>
        <v>35254.952758584659</v>
      </c>
      <c r="E19" s="3">
        <v>5.36</v>
      </c>
      <c r="H19" s="3">
        <v>17</v>
      </c>
      <c r="I19" s="3">
        <v>5248</v>
      </c>
      <c r="J19" s="3">
        <f t="shared" si="1"/>
        <v>32974.156492078466</v>
      </c>
      <c r="K19" s="3">
        <v>4.18</v>
      </c>
      <c r="N19" s="1">
        <f>N12*SQRT(O22*O23)</f>
        <v>7.2073159734060628</v>
      </c>
    </row>
    <row r="20" spans="1:21" x14ac:dyDescent="0.25">
      <c r="B20" s="3">
        <v>18</v>
      </c>
      <c r="C20" s="3">
        <v>5957</v>
      </c>
      <c r="D20" s="3">
        <f t="shared" si="0"/>
        <v>37428.934874868792</v>
      </c>
      <c r="E20" s="3">
        <v>4.87</v>
      </c>
      <c r="H20" s="3">
        <v>18</v>
      </c>
      <c r="I20" s="3">
        <v>5965</v>
      </c>
      <c r="J20" s="3">
        <f t="shared" si="1"/>
        <v>37479.200357326234</v>
      </c>
      <c r="K20" s="3">
        <v>3.25</v>
      </c>
      <c r="L20" s="1" t="s">
        <v>21</v>
      </c>
    </row>
    <row r="21" spans="1:21" x14ac:dyDescent="0.25">
      <c r="B21" s="3">
        <v>19</v>
      </c>
      <c r="C21" s="3">
        <v>6713</v>
      </c>
      <c r="D21" s="3">
        <f t="shared" si="0"/>
        <v>42179.022967096564</v>
      </c>
      <c r="E21" s="3">
        <v>4.6399999999999997</v>
      </c>
      <c r="H21" s="3">
        <v>19</v>
      </c>
      <c r="I21" s="3">
        <v>6660</v>
      </c>
      <c r="J21" s="3">
        <f t="shared" si="1"/>
        <v>41846.014145816043</v>
      </c>
      <c r="K21" s="3">
        <v>2.5099999999999998</v>
      </c>
    </row>
    <row r="22" spans="1:21" x14ac:dyDescent="0.25">
      <c r="A22" s="1" t="s">
        <v>26</v>
      </c>
      <c r="B22" s="3">
        <v>20</v>
      </c>
      <c r="C22" s="3">
        <v>7410</v>
      </c>
      <c r="D22" s="3">
        <f t="shared" si="0"/>
        <v>46558.403126200734</v>
      </c>
      <c r="E22" s="3">
        <v>4.2300000000000004</v>
      </c>
      <c r="H22" s="3">
        <v>20</v>
      </c>
      <c r="I22" s="3">
        <v>7238</v>
      </c>
      <c r="J22" s="3">
        <f t="shared" si="1"/>
        <v>45477.695253365848</v>
      </c>
      <c r="K22" s="3">
        <v>3</v>
      </c>
      <c r="L22" s="1" t="s">
        <v>21</v>
      </c>
      <c r="N22" s="1" t="s">
        <v>27</v>
      </c>
      <c r="O22" s="1">
        <v>10.7</v>
      </c>
    </row>
    <row r="23" spans="1:21" x14ac:dyDescent="0.25">
      <c r="A23" s="5">
        <f>(A18*A18-A16*A16)/(A18*A18+A16*A16)</f>
        <v>8.5470107252465996E-2</v>
      </c>
      <c r="B23" s="3">
        <v>21</v>
      </c>
      <c r="C23" s="3">
        <v>8612</v>
      </c>
      <c r="D23" s="3">
        <f t="shared" si="0"/>
        <v>54110.791865430598</v>
      </c>
      <c r="E23" s="3">
        <v>3.89</v>
      </c>
      <c r="F23" s="1">
        <v>0.7</v>
      </c>
      <c r="H23" s="3">
        <v>21</v>
      </c>
      <c r="I23" s="3">
        <v>7897</v>
      </c>
      <c r="J23" s="3">
        <f t="shared" si="1"/>
        <v>49618.31437079719</v>
      </c>
      <c r="K23" s="3">
        <v>3.93</v>
      </c>
      <c r="N23" s="1" t="s">
        <v>28</v>
      </c>
      <c r="O23" s="1">
        <v>12.7</v>
      </c>
    </row>
    <row r="24" spans="1:21" x14ac:dyDescent="0.25">
      <c r="H24" s="3">
        <v>22</v>
      </c>
      <c r="I24" s="3">
        <v>8230</v>
      </c>
      <c r="J24" s="3">
        <f t="shared" si="1"/>
        <v>51710.615078087998</v>
      </c>
      <c r="K24" s="3">
        <v>4.0999999999999996</v>
      </c>
    </row>
    <row r="25" spans="1:21" x14ac:dyDescent="0.25">
      <c r="A25" s="1" t="s">
        <v>29</v>
      </c>
      <c r="D25" s="1">
        <f>D23-D13</f>
        <v>35845.572177459544</v>
      </c>
      <c r="H25" s="3">
        <v>23</v>
      </c>
      <c r="I25" s="3">
        <v>8555</v>
      </c>
      <c r="J25" s="3">
        <f t="shared" si="1"/>
        <v>53752.650302921364</v>
      </c>
      <c r="K25" s="3">
        <v>4.1500000000000004</v>
      </c>
      <c r="L25" s="1" t="s">
        <v>30</v>
      </c>
    </row>
    <row r="26" spans="1:21" x14ac:dyDescent="0.25">
      <c r="A26" s="1">
        <f>A21*SQRT((A2-1)*(A2+1))</f>
        <v>0</v>
      </c>
      <c r="H26" s="3">
        <v>24</v>
      </c>
      <c r="I26" s="3">
        <v>8991</v>
      </c>
      <c r="J26" s="3">
        <f t="shared" si="1"/>
        <v>56492.11909685166</v>
      </c>
      <c r="K26" s="3">
        <v>4.13</v>
      </c>
    </row>
    <row r="27" spans="1:21" x14ac:dyDescent="0.25">
      <c r="H27" s="3">
        <v>25</v>
      </c>
      <c r="I27" s="3">
        <v>9415</v>
      </c>
      <c r="J27" s="3">
        <f t="shared" si="1"/>
        <v>59156.189667095801</v>
      </c>
      <c r="K27" s="3">
        <v>4.07</v>
      </c>
      <c r="O27" s="6"/>
    </row>
    <row r="28" spans="1:21" x14ac:dyDescent="0.25">
      <c r="H28" s="3">
        <v>26</v>
      </c>
      <c r="I28" s="3">
        <v>11080</v>
      </c>
      <c r="J28" s="3">
        <f t="shared" si="1"/>
        <v>69617.693203549818</v>
      </c>
      <c r="K28" s="3">
        <v>3.7</v>
      </c>
    </row>
    <row r="29" spans="1:21" x14ac:dyDescent="0.25">
      <c r="F29" s="6"/>
      <c r="H29" s="3">
        <v>27</v>
      </c>
      <c r="I29" s="3">
        <v>11570</v>
      </c>
      <c r="J29" s="3">
        <f t="shared" si="1"/>
        <v>72696.454004067811</v>
      </c>
      <c r="K29" s="3">
        <v>3.27</v>
      </c>
      <c r="L29" s="1" t="s">
        <v>21</v>
      </c>
    </row>
    <row r="31" spans="1:21" x14ac:dyDescent="0.25">
      <c r="T31" s="1" t="str">
        <f t="shared" ref="T31:T35" si="2">IF(C31-C30 &gt; 0, C31-C30, "")</f>
        <v/>
      </c>
      <c r="U31" s="1" t="str">
        <f t="shared" ref="U31:U41" si="3">IF(I31-I30 &gt; 0, I31-I30, "")</f>
        <v/>
      </c>
    </row>
    <row r="32" spans="1:21" x14ac:dyDescent="0.25">
      <c r="T32" s="1" t="str">
        <f t="shared" si="2"/>
        <v/>
      </c>
      <c r="U32" s="1" t="str">
        <f t="shared" si="3"/>
        <v/>
      </c>
    </row>
    <row r="33" spans="11:21" x14ac:dyDescent="0.25">
      <c r="T33" s="1" t="str">
        <f t="shared" si="2"/>
        <v/>
      </c>
      <c r="U33" s="1" t="str">
        <f t="shared" si="3"/>
        <v/>
      </c>
    </row>
    <row r="34" spans="11:21" x14ac:dyDescent="0.25">
      <c r="T34" s="1" t="str">
        <f t="shared" si="2"/>
        <v/>
      </c>
      <c r="U34" s="1" t="str">
        <f t="shared" si="3"/>
        <v/>
      </c>
    </row>
    <row r="35" spans="11:21" x14ac:dyDescent="0.25">
      <c r="T35" s="1" t="str">
        <f t="shared" si="2"/>
        <v/>
      </c>
      <c r="U35" s="1" t="str">
        <f t="shared" si="3"/>
        <v/>
      </c>
    </row>
    <row r="36" spans="11:21" x14ac:dyDescent="0.25">
      <c r="U36" s="1" t="str">
        <f t="shared" si="3"/>
        <v/>
      </c>
    </row>
    <row r="37" spans="11:21" x14ac:dyDescent="0.25">
      <c r="U37" s="1" t="str">
        <f t="shared" si="3"/>
        <v/>
      </c>
    </row>
    <row r="38" spans="11:21" x14ac:dyDescent="0.25">
      <c r="U38" s="1" t="str">
        <f t="shared" si="3"/>
        <v/>
      </c>
    </row>
    <row r="39" spans="11:21" x14ac:dyDescent="0.25">
      <c r="U39" s="1" t="str">
        <f t="shared" si="3"/>
        <v/>
      </c>
    </row>
    <row r="40" spans="11:21" x14ac:dyDescent="0.25">
      <c r="K40" s="1" t="s">
        <v>31</v>
      </c>
      <c r="U40" s="1" t="str">
        <f t="shared" si="3"/>
        <v/>
      </c>
    </row>
    <row r="41" spans="11:21" x14ac:dyDescent="0.25">
      <c r="U41" s="1" t="str">
        <f t="shared" si="3"/>
        <v/>
      </c>
    </row>
  </sheetData>
  <mergeCells count="2">
    <mergeCell ref="B1:E1"/>
    <mergeCell ref="H1:K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Слава Тимофеев</cp:lastModifiedBy>
  <dcterms:modified xsi:type="dcterms:W3CDTF">2025-03-27T14:51:32Z</dcterms:modified>
</cp:coreProperties>
</file>